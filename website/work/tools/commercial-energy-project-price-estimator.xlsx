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kef\Documents\New R Project\portfolio-processing\cleaned_workbooks\"/>
    </mc:Choice>
  </mc:AlternateContent>
  <xr:revisionPtr revIDLastSave="0" documentId="13_ncr:1_{7FCDD984-08A2-4AFF-BD4F-CED8A1D2E3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rtfolio Guide" sheetId="28" r:id="rId1"/>
    <sheet name="Public Library Cost" sheetId="27" r:id="rId2"/>
    <sheet name="Cost Calculator" sheetId="1" r:id="rId3"/>
    <sheet name="Utility Scale Estimates" sheetId="20" r:id="rId4"/>
    <sheet name="Commercial Scale &amp; UHManoa PV" sheetId="24" r:id="rId5"/>
    <sheet name="Cost Breakdowns" sheetId="2" r:id="rId6"/>
    <sheet name="Utility Scale Estimate Sheet" sheetId="26" r:id="rId7"/>
    <sheet name="Estimate_1" sheetId="5" r:id="rId8"/>
    <sheet name="Estimate_2" sheetId="6" r:id="rId9"/>
    <sheet name="Estimate_3" sheetId="15" r:id="rId10"/>
    <sheet name="Estimate_4" sheetId="16" r:id="rId11"/>
    <sheet name="HECO Estimates" sheetId="9" r:id="rId12"/>
    <sheet name="Estimate_6" sheetId="14" r:id="rId13"/>
    <sheet name="Estimate_7" sheetId="10" r:id="rId14"/>
    <sheet name="Estimate_8" sheetId="7" r:id="rId15"/>
    <sheet name="Estimate_9" sheetId="8" r:id="rId16"/>
    <sheet name="Residential Estimate" sheetId="13" r:id="rId17"/>
    <sheet name="Drop Down Lists" sheetId="3" r:id="rId18"/>
    <sheet name="Output Charts Breakdown" sheetId="19" r:id="rId19"/>
    <sheet name="Commercial - TBD" sheetId="25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5" l="1"/>
  <c r="E19" i="19"/>
  <c r="E18" i="19"/>
  <c r="A18" i="19"/>
  <c r="E17" i="19"/>
  <c r="A17" i="19"/>
  <c r="E16" i="19"/>
  <c r="A16" i="19"/>
  <c r="E15" i="19"/>
  <c r="A15" i="19"/>
  <c r="E14" i="19"/>
  <c r="A14" i="19"/>
  <c r="E13" i="19"/>
  <c r="A13" i="19"/>
  <c r="E12" i="19"/>
  <c r="A12" i="19"/>
  <c r="E11" i="19"/>
  <c r="A11" i="19"/>
  <c r="E10" i="19"/>
  <c r="A10" i="19"/>
  <c r="E9" i="19"/>
  <c r="A9" i="19"/>
  <c r="E8" i="19"/>
  <c r="A8" i="19"/>
  <c r="E7" i="19"/>
  <c r="A7" i="19"/>
  <c r="E6" i="19"/>
  <c r="A6" i="19"/>
  <c r="E5" i="19"/>
  <c r="A5" i="19"/>
  <c r="E4" i="19"/>
  <c r="A4" i="19"/>
  <c r="E3" i="19"/>
  <c r="A3" i="19"/>
  <c r="E3" i="13"/>
  <c r="D3" i="13"/>
  <c r="E2" i="13"/>
  <c r="D2" i="13"/>
  <c r="D11" i="8"/>
  <c r="C11" i="8"/>
  <c r="B11" i="8"/>
  <c r="C10" i="8"/>
  <c r="B10" i="8"/>
  <c r="D7" i="8"/>
  <c r="B7" i="8"/>
  <c r="D6" i="8"/>
  <c r="D10" i="8" s="1"/>
  <c r="B6" i="8"/>
  <c r="C4" i="8"/>
  <c r="D4" i="8" s="1"/>
  <c r="D3" i="8"/>
  <c r="C3" i="8"/>
  <c r="D2" i="8"/>
  <c r="C2" i="8"/>
  <c r="C6" i="7"/>
  <c r="D4" i="7"/>
  <c r="D6" i="7" s="1"/>
  <c r="B4" i="7"/>
  <c r="B6" i="7" s="1"/>
  <c r="D2" i="7"/>
  <c r="B2" i="7"/>
  <c r="B7" i="10"/>
  <c r="D12" i="20" s="1"/>
  <c r="C12" i="20" s="1"/>
  <c r="B4" i="14"/>
  <c r="B2" i="14"/>
  <c r="B3" i="14" s="1"/>
  <c r="C15" i="9"/>
  <c r="F13" i="9"/>
  <c r="C13" i="9"/>
  <c r="D13" i="9" s="1"/>
  <c r="F12" i="9"/>
  <c r="C12" i="9"/>
  <c r="D12" i="9" s="1"/>
  <c r="F11" i="9"/>
  <c r="D11" i="9"/>
  <c r="C11" i="9"/>
  <c r="F10" i="9"/>
  <c r="C10" i="9"/>
  <c r="D10" i="9" s="1"/>
  <c r="D9" i="9"/>
  <c r="C9" i="9"/>
  <c r="C8" i="9"/>
  <c r="D8" i="9" s="1"/>
  <c r="C7" i="9"/>
  <c r="D7" i="9" s="1"/>
  <c r="F6" i="9"/>
  <c r="D6" i="9"/>
  <c r="D15" i="9" s="1"/>
  <c r="D2" i="20" s="1"/>
  <c r="C2" i="20" s="1"/>
  <c r="C6" i="9"/>
  <c r="F5" i="9"/>
  <c r="C5" i="9"/>
  <c r="D5" i="9" s="1"/>
  <c r="F4" i="9"/>
  <c r="C4" i="9"/>
  <c r="D4" i="9" s="1"/>
  <c r="F3" i="9"/>
  <c r="C3" i="9"/>
  <c r="D3" i="9" s="1"/>
  <c r="F2" i="9"/>
  <c r="D2" i="9"/>
  <c r="C2" i="9"/>
  <c r="B3" i="16"/>
  <c r="B11" i="15"/>
  <c r="B10" i="15"/>
  <c r="B9" i="15"/>
  <c r="I7" i="20" s="1"/>
  <c r="B7" i="15"/>
  <c r="B2" i="6"/>
  <c r="B3" i="6" s="1"/>
  <c r="D10" i="20" s="1"/>
  <c r="C10" i="20" s="1"/>
  <c r="B3" i="5"/>
  <c r="D76" i="26"/>
  <c r="C76" i="26"/>
  <c r="B76" i="26"/>
  <c r="D75" i="26"/>
  <c r="C75" i="26"/>
  <c r="B75" i="26"/>
  <c r="D72" i="26"/>
  <c r="B72" i="26"/>
  <c r="D71" i="26"/>
  <c r="B71" i="26"/>
  <c r="D69" i="26"/>
  <c r="C69" i="26"/>
  <c r="C68" i="26"/>
  <c r="D68" i="26" s="1"/>
  <c r="D67" i="26"/>
  <c r="C67" i="26"/>
  <c r="C64" i="26"/>
  <c r="B64" i="26"/>
  <c r="D62" i="26"/>
  <c r="D64" i="26" s="1"/>
  <c r="B62" i="26"/>
  <c r="D60" i="26"/>
  <c r="B60" i="26"/>
  <c r="B57" i="26"/>
  <c r="B46" i="26"/>
  <c r="B45" i="26"/>
  <c r="B44" i="26"/>
  <c r="F39" i="26"/>
  <c r="C39" i="26"/>
  <c r="D39" i="26" s="1"/>
  <c r="F38" i="26"/>
  <c r="C38" i="26"/>
  <c r="D38" i="26" s="1"/>
  <c r="F37" i="26"/>
  <c r="C37" i="26"/>
  <c r="D37" i="26" s="1"/>
  <c r="F36" i="26"/>
  <c r="C36" i="26"/>
  <c r="D36" i="26" s="1"/>
  <c r="D35" i="26"/>
  <c r="C35" i="26"/>
  <c r="D34" i="26"/>
  <c r="C34" i="26"/>
  <c r="C33" i="26"/>
  <c r="D33" i="26" s="1"/>
  <c r="F32" i="26"/>
  <c r="C32" i="26"/>
  <c r="D32" i="26" s="1"/>
  <c r="F31" i="26"/>
  <c r="C31" i="26"/>
  <c r="D31" i="26" s="1"/>
  <c r="F30" i="26"/>
  <c r="C30" i="26"/>
  <c r="D30" i="26" s="1"/>
  <c r="F29" i="26"/>
  <c r="C29" i="26"/>
  <c r="D29" i="26" s="1"/>
  <c r="F28" i="26"/>
  <c r="C28" i="26"/>
  <c r="D28" i="26" s="1"/>
  <c r="B25" i="26"/>
  <c r="B19" i="26"/>
  <c r="B18" i="26"/>
  <c r="B16" i="26"/>
  <c r="B20" i="26" s="1"/>
  <c r="B8" i="26"/>
  <c r="B7" i="26"/>
  <c r="B4" i="26"/>
  <c r="D88" i="2"/>
  <c r="D87" i="2"/>
  <c r="D86" i="2"/>
  <c r="D85" i="2"/>
  <c r="D84" i="2"/>
  <c r="D83" i="2"/>
  <c r="D82" i="2"/>
  <c r="D81" i="2"/>
  <c r="C76" i="2"/>
  <c r="D75" i="2"/>
  <c r="D74" i="2"/>
  <c r="D73" i="2"/>
  <c r="D72" i="2"/>
  <c r="D71" i="2"/>
  <c r="D70" i="2"/>
  <c r="D69" i="2"/>
  <c r="D68" i="2"/>
  <c r="D67" i="2"/>
  <c r="D66" i="2"/>
  <c r="I61" i="2"/>
  <c r="J61" i="2" s="1"/>
  <c r="F61" i="2"/>
  <c r="G61" i="2" s="1"/>
  <c r="C61" i="2"/>
  <c r="D61" i="2" s="1"/>
  <c r="E61" i="2" s="1"/>
  <c r="J60" i="2"/>
  <c r="G60" i="2"/>
  <c r="D60" i="2"/>
  <c r="E60" i="2" s="1"/>
  <c r="J59" i="2"/>
  <c r="G59" i="2"/>
  <c r="D59" i="2"/>
  <c r="E59" i="2" s="1"/>
  <c r="J58" i="2"/>
  <c r="G58" i="2"/>
  <c r="D58" i="2"/>
  <c r="E58" i="2" s="1"/>
  <c r="J57" i="2"/>
  <c r="K57" i="2" s="1"/>
  <c r="G57" i="2"/>
  <c r="D57" i="2"/>
  <c r="E57" i="2" s="1"/>
  <c r="J56" i="2"/>
  <c r="G56" i="2"/>
  <c r="D56" i="2"/>
  <c r="E56" i="2" s="1"/>
  <c r="J55" i="2"/>
  <c r="G55" i="2"/>
  <c r="D55" i="2"/>
  <c r="E55" i="2" s="1"/>
  <c r="J54" i="2"/>
  <c r="G54" i="2"/>
  <c r="D54" i="2"/>
  <c r="E54" i="2" s="1"/>
  <c r="J53" i="2"/>
  <c r="K53" i="2" s="1"/>
  <c r="G53" i="2"/>
  <c r="D53" i="2"/>
  <c r="E53" i="2" s="1"/>
  <c r="J52" i="2"/>
  <c r="G52" i="2"/>
  <c r="D52" i="2"/>
  <c r="E52" i="2" s="1"/>
  <c r="J51" i="2"/>
  <c r="G51" i="2"/>
  <c r="D51" i="2"/>
  <c r="E51" i="2" s="1"/>
  <c r="J50" i="2"/>
  <c r="G50" i="2"/>
  <c r="D50" i="2"/>
  <c r="E50" i="2" s="1"/>
  <c r="J49" i="2"/>
  <c r="K49" i="2" s="1"/>
  <c r="G49" i="2"/>
  <c r="D49" i="2"/>
  <c r="E49" i="2" s="1"/>
  <c r="J48" i="2"/>
  <c r="G48" i="2"/>
  <c r="D48" i="2"/>
  <c r="E48" i="2" s="1"/>
  <c r="J42" i="2"/>
  <c r="C42" i="2"/>
  <c r="E40" i="2" s="1"/>
  <c r="C17" i="19" s="1"/>
  <c r="I41" i="2"/>
  <c r="I40" i="2"/>
  <c r="I39" i="2"/>
  <c r="I38" i="2"/>
  <c r="E38" i="2"/>
  <c r="C15" i="19" s="1"/>
  <c r="I37" i="2"/>
  <c r="I36" i="2"/>
  <c r="I35" i="2"/>
  <c r="I34" i="2"/>
  <c r="E34" i="2"/>
  <c r="C11" i="19" s="1"/>
  <c r="I33" i="2"/>
  <c r="I32" i="2"/>
  <c r="I31" i="2"/>
  <c r="I30" i="2"/>
  <c r="E30" i="2"/>
  <c r="C7" i="19" s="1"/>
  <c r="I29" i="2"/>
  <c r="I42" i="2" s="1"/>
  <c r="I28" i="2"/>
  <c r="K28" i="2" s="1"/>
  <c r="I27" i="2"/>
  <c r="I26" i="2"/>
  <c r="E26" i="2"/>
  <c r="C3" i="19" s="1"/>
  <c r="K20" i="2"/>
  <c r="J20" i="2"/>
  <c r="K12" i="2" s="1"/>
  <c r="F20" i="2"/>
  <c r="G20" i="2" s="1"/>
  <c r="D20" i="2"/>
  <c r="E20" i="2" s="1"/>
  <c r="G19" i="19" s="1"/>
  <c r="J25" i="1" s="1"/>
  <c r="C20" i="2"/>
  <c r="J19" i="2"/>
  <c r="K19" i="2" s="1"/>
  <c r="G19" i="2"/>
  <c r="H19" i="2" s="1"/>
  <c r="E19" i="2"/>
  <c r="G18" i="19" s="1"/>
  <c r="J24" i="1" s="1"/>
  <c r="D19" i="2"/>
  <c r="J18" i="2"/>
  <c r="K18" i="2" s="1"/>
  <c r="G18" i="2"/>
  <c r="E18" i="2"/>
  <c r="G17" i="19" s="1"/>
  <c r="J23" i="1" s="1"/>
  <c r="D18" i="2"/>
  <c r="J17" i="2"/>
  <c r="K17" i="2" s="1"/>
  <c r="G17" i="2"/>
  <c r="H17" i="2" s="1"/>
  <c r="E17" i="2"/>
  <c r="G16" i="19" s="1"/>
  <c r="J22" i="1" s="1"/>
  <c r="D17" i="2"/>
  <c r="J16" i="2"/>
  <c r="K16" i="2" s="1"/>
  <c r="G16" i="2"/>
  <c r="E16" i="2"/>
  <c r="G15" i="19" s="1"/>
  <c r="J21" i="1" s="1"/>
  <c r="D16" i="2"/>
  <c r="J15" i="2"/>
  <c r="K15" i="2" s="1"/>
  <c r="G15" i="2"/>
  <c r="E15" i="2"/>
  <c r="G14" i="19" s="1"/>
  <c r="J20" i="1" s="1"/>
  <c r="D15" i="2"/>
  <c r="J14" i="2"/>
  <c r="K14" i="2" s="1"/>
  <c r="G14" i="2"/>
  <c r="E14" i="2"/>
  <c r="G13" i="19" s="1"/>
  <c r="J19" i="1" s="1"/>
  <c r="D14" i="2"/>
  <c r="J13" i="2"/>
  <c r="K13" i="2" s="1"/>
  <c r="G13" i="2"/>
  <c r="H13" i="2" s="1"/>
  <c r="E13" i="2"/>
  <c r="G12" i="19" s="1"/>
  <c r="J18" i="1" s="1"/>
  <c r="D13" i="2"/>
  <c r="G12" i="2"/>
  <c r="D12" i="2"/>
  <c r="E12" i="2" s="1"/>
  <c r="G11" i="19" s="1"/>
  <c r="J17" i="1" s="1"/>
  <c r="J11" i="2"/>
  <c r="K11" i="2" s="1"/>
  <c r="G11" i="2"/>
  <c r="D11" i="2"/>
  <c r="E11" i="2" s="1"/>
  <c r="G10" i="19" s="1"/>
  <c r="J16" i="1" s="1"/>
  <c r="K10" i="2"/>
  <c r="J10" i="2"/>
  <c r="G10" i="2"/>
  <c r="H10" i="2" s="1"/>
  <c r="D10" i="2"/>
  <c r="E10" i="2" s="1"/>
  <c r="G9" i="19" s="1"/>
  <c r="J15" i="1" s="1"/>
  <c r="J9" i="2"/>
  <c r="K9" i="2" s="1"/>
  <c r="G9" i="2"/>
  <c r="D9" i="2"/>
  <c r="E9" i="2" s="1"/>
  <c r="G8" i="19" s="1"/>
  <c r="J14" i="1" s="1"/>
  <c r="K8" i="2"/>
  <c r="J8" i="2"/>
  <c r="G8" i="2"/>
  <c r="H8" i="2" s="1"/>
  <c r="D8" i="2"/>
  <c r="E8" i="2" s="1"/>
  <c r="G7" i="19" s="1"/>
  <c r="J13" i="1" s="1"/>
  <c r="J7" i="2"/>
  <c r="K7" i="2" s="1"/>
  <c r="G7" i="2"/>
  <c r="D7" i="2"/>
  <c r="E7" i="2" s="1"/>
  <c r="G6" i="19" s="1"/>
  <c r="J12" i="1" s="1"/>
  <c r="K6" i="2"/>
  <c r="J6" i="2"/>
  <c r="G6" i="2"/>
  <c r="H6" i="2" s="1"/>
  <c r="D6" i="2"/>
  <c r="E6" i="2" s="1"/>
  <c r="G5" i="19" s="1"/>
  <c r="J11" i="1" s="1"/>
  <c r="J5" i="2"/>
  <c r="K5" i="2" s="1"/>
  <c r="G5" i="2"/>
  <c r="D5" i="2"/>
  <c r="E5" i="2" s="1"/>
  <c r="G4" i="19" s="1"/>
  <c r="J10" i="1" s="1"/>
  <c r="K4" i="2"/>
  <c r="J4" i="2"/>
  <c r="G4" i="2"/>
  <c r="H4" i="2" s="1"/>
  <c r="D4" i="2"/>
  <c r="E4" i="2" s="1"/>
  <c r="G3" i="19" s="1"/>
  <c r="J9" i="1" s="1"/>
  <c r="J39" i="24"/>
  <c r="I39" i="24"/>
  <c r="H39" i="24"/>
  <c r="G39" i="24"/>
  <c r="J38" i="24"/>
  <c r="I38" i="24"/>
  <c r="H38" i="24"/>
  <c r="G38" i="24"/>
  <c r="K37" i="24"/>
  <c r="J37" i="24"/>
  <c r="I37" i="24"/>
  <c r="H37" i="24"/>
  <c r="G37" i="24"/>
  <c r="K36" i="24"/>
  <c r="J36" i="24"/>
  <c r="H36" i="24"/>
  <c r="G36" i="24"/>
  <c r="I36" i="24" s="1"/>
  <c r="K35" i="24"/>
  <c r="J35" i="24"/>
  <c r="I35" i="24"/>
  <c r="H35" i="24"/>
  <c r="G35" i="24"/>
  <c r="K34" i="24"/>
  <c r="J34" i="24"/>
  <c r="I34" i="24"/>
  <c r="H34" i="24"/>
  <c r="G34" i="24"/>
  <c r="K33" i="24"/>
  <c r="J33" i="24"/>
  <c r="I33" i="24"/>
  <c r="H33" i="24"/>
  <c r="G33" i="24"/>
  <c r="K32" i="24"/>
  <c r="J32" i="24"/>
  <c r="I32" i="24"/>
  <c r="H32" i="24"/>
  <c r="G32" i="24"/>
  <c r="K31" i="24"/>
  <c r="J31" i="24"/>
  <c r="H31" i="24"/>
  <c r="G31" i="24"/>
  <c r="I31" i="24" s="1"/>
  <c r="K30" i="24"/>
  <c r="J30" i="24"/>
  <c r="H30" i="24"/>
  <c r="G30" i="24"/>
  <c r="C31" i="1" s="1"/>
  <c r="K29" i="24"/>
  <c r="J29" i="24"/>
  <c r="H29" i="24"/>
  <c r="G29" i="24"/>
  <c r="I29" i="24" s="1"/>
  <c r="K28" i="24"/>
  <c r="J28" i="24"/>
  <c r="H28" i="24"/>
  <c r="G28" i="24"/>
  <c r="I28" i="24" s="1"/>
  <c r="K27" i="24"/>
  <c r="J27" i="24"/>
  <c r="I27" i="24"/>
  <c r="G27" i="24"/>
  <c r="H27" i="24" s="1"/>
  <c r="K26" i="24"/>
  <c r="J26" i="24"/>
  <c r="I26" i="24"/>
  <c r="H26" i="24"/>
  <c r="G26" i="24"/>
  <c r="K25" i="24"/>
  <c r="J25" i="24"/>
  <c r="I25" i="24"/>
  <c r="H25" i="24"/>
  <c r="G25" i="24"/>
  <c r="K24" i="24"/>
  <c r="J24" i="24"/>
  <c r="I24" i="24"/>
  <c r="G24" i="24"/>
  <c r="H24" i="24" s="1"/>
  <c r="K23" i="24"/>
  <c r="J23" i="24"/>
  <c r="I23" i="24"/>
  <c r="H23" i="24"/>
  <c r="G23" i="24"/>
  <c r="K22" i="24"/>
  <c r="J22" i="24"/>
  <c r="I22" i="24"/>
  <c r="H22" i="24"/>
  <c r="G22" i="24"/>
  <c r="K21" i="24"/>
  <c r="J21" i="24"/>
  <c r="I21" i="24"/>
  <c r="H21" i="24"/>
  <c r="G21" i="24"/>
  <c r="K20" i="24"/>
  <c r="J20" i="24"/>
  <c r="I20" i="24"/>
  <c r="H20" i="24"/>
  <c r="G20" i="24"/>
  <c r="K19" i="24"/>
  <c r="J19" i="24"/>
  <c r="I19" i="24"/>
  <c r="H19" i="24"/>
  <c r="G19" i="24"/>
  <c r="C20" i="1" s="1"/>
  <c r="K18" i="24"/>
  <c r="J18" i="24"/>
  <c r="I18" i="24"/>
  <c r="G18" i="24"/>
  <c r="H18" i="24" s="1"/>
  <c r="K17" i="24"/>
  <c r="J17" i="24"/>
  <c r="I17" i="24"/>
  <c r="G17" i="24"/>
  <c r="H17" i="24" s="1"/>
  <c r="K16" i="24"/>
  <c r="J16" i="24"/>
  <c r="I16" i="24"/>
  <c r="G16" i="24"/>
  <c r="H16" i="24" s="1"/>
  <c r="K15" i="24"/>
  <c r="J15" i="24"/>
  <c r="I15" i="24"/>
  <c r="G15" i="24"/>
  <c r="H15" i="24" s="1"/>
  <c r="K14" i="24"/>
  <c r="J14" i="24"/>
  <c r="I14" i="24"/>
  <c r="H14" i="24"/>
  <c r="G14" i="24"/>
  <c r="K13" i="24"/>
  <c r="J13" i="24"/>
  <c r="I13" i="24"/>
  <c r="H13" i="24"/>
  <c r="G13" i="24"/>
  <c r="K12" i="24"/>
  <c r="J12" i="24"/>
  <c r="I12" i="24"/>
  <c r="G12" i="24"/>
  <c r="H12" i="24" s="1"/>
  <c r="K11" i="24"/>
  <c r="J11" i="24"/>
  <c r="I11" i="24"/>
  <c r="H11" i="24"/>
  <c r="G11" i="24"/>
  <c r="K10" i="24"/>
  <c r="J10" i="24"/>
  <c r="I10" i="24"/>
  <c r="H10" i="24"/>
  <c r="G10" i="24"/>
  <c r="K9" i="24"/>
  <c r="D4" i="24" s="1"/>
  <c r="J9" i="24"/>
  <c r="I9" i="24"/>
  <c r="G9" i="24"/>
  <c r="H9" i="24" s="1"/>
  <c r="K8" i="24"/>
  <c r="J8" i="24"/>
  <c r="C4" i="24" s="1"/>
  <c r="I8" i="24"/>
  <c r="G8" i="24"/>
  <c r="H8" i="24" s="1"/>
  <c r="C92" i="20"/>
  <c r="C91" i="20"/>
  <c r="C90" i="20"/>
  <c r="C89" i="20"/>
  <c r="C88" i="20"/>
  <c r="C87" i="20"/>
  <c r="C86" i="20"/>
  <c r="C85" i="20"/>
  <c r="C84" i="20"/>
  <c r="C83" i="20"/>
  <c r="C82" i="20"/>
  <c r="C81" i="20"/>
  <c r="C80" i="20"/>
  <c r="C79" i="20"/>
  <c r="C78" i="20"/>
  <c r="C77" i="20"/>
  <c r="C76" i="20"/>
  <c r="C75" i="20"/>
  <c r="C74" i="20"/>
  <c r="C73" i="20"/>
  <c r="C72" i="20"/>
  <c r="C71" i="20"/>
  <c r="C70" i="20"/>
  <c r="C69" i="20"/>
  <c r="C68" i="20"/>
  <c r="C67" i="20"/>
  <c r="C66" i="20"/>
  <c r="C65" i="20"/>
  <c r="C64" i="20"/>
  <c r="C63" i="20"/>
  <c r="C62" i="20"/>
  <c r="C61" i="20"/>
  <c r="C60" i="20"/>
  <c r="C59" i="20"/>
  <c r="C58" i="20"/>
  <c r="C57" i="20"/>
  <c r="C56" i="20"/>
  <c r="C55" i="20"/>
  <c r="C54" i="20"/>
  <c r="C53" i="20"/>
  <c r="C52" i="20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D11" i="20"/>
  <c r="C11" i="20"/>
  <c r="D9" i="20"/>
  <c r="C9" i="20" s="1"/>
  <c r="D8" i="20"/>
  <c r="C8" i="20"/>
  <c r="H7" i="20"/>
  <c r="D7" i="20"/>
  <c r="C7" i="20" s="1"/>
  <c r="I6" i="20"/>
  <c r="H6" i="20"/>
  <c r="D6" i="20" s="1"/>
  <c r="C6" i="20" s="1"/>
  <c r="I5" i="20"/>
  <c r="H5" i="20"/>
  <c r="D5" i="20" s="1"/>
  <c r="C5" i="20" s="1"/>
  <c r="I4" i="20"/>
  <c r="H4" i="20"/>
  <c r="D4" i="20"/>
  <c r="C4" i="20" s="1"/>
  <c r="I3" i="20"/>
  <c r="I2" i="20"/>
  <c r="H2" i="20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B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B32" i="1"/>
  <c r="F31" i="1"/>
  <c r="E31" i="1"/>
  <c r="D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B28" i="1"/>
  <c r="F27" i="1"/>
  <c r="E27" i="1"/>
  <c r="D27" i="1"/>
  <c r="C27" i="1"/>
  <c r="B27" i="1"/>
  <c r="F26" i="1"/>
  <c r="E26" i="1"/>
  <c r="D26" i="1"/>
  <c r="C26" i="1"/>
  <c r="B26" i="1"/>
  <c r="H25" i="1"/>
  <c r="F25" i="1"/>
  <c r="E25" i="1"/>
  <c r="D25" i="1"/>
  <c r="B25" i="1"/>
  <c r="H24" i="1"/>
  <c r="F24" i="1"/>
  <c r="E24" i="1"/>
  <c r="D24" i="1"/>
  <c r="C24" i="1"/>
  <c r="B24" i="1"/>
  <c r="H23" i="1"/>
  <c r="F23" i="1"/>
  <c r="E23" i="1"/>
  <c r="D23" i="1"/>
  <c r="C23" i="1"/>
  <c r="B23" i="1"/>
  <c r="H22" i="1"/>
  <c r="F22" i="1"/>
  <c r="E22" i="1"/>
  <c r="D22" i="1"/>
  <c r="C22" i="1"/>
  <c r="B22" i="1"/>
  <c r="H21" i="1"/>
  <c r="F21" i="1"/>
  <c r="E21" i="1"/>
  <c r="D21" i="1"/>
  <c r="C21" i="1"/>
  <c r="B21" i="1"/>
  <c r="H20" i="1"/>
  <c r="F20" i="1"/>
  <c r="E20" i="1"/>
  <c r="D20" i="1"/>
  <c r="B20" i="1"/>
  <c r="H19" i="1"/>
  <c r="F19" i="1"/>
  <c r="E19" i="1"/>
  <c r="D19" i="1"/>
  <c r="C19" i="1"/>
  <c r="B19" i="1"/>
  <c r="H18" i="1"/>
  <c r="F18" i="1"/>
  <c r="E18" i="1"/>
  <c r="D18" i="1"/>
  <c r="C18" i="1"/>
  <c r="B18" i="1"/>
  <c r="H17" i="1"/>
  <c r="F17" i="1"/>
  <c r="E17" i="1"/>
  <c r="D17" i="1"/>
  <c r="C17" i="1"/>
  <c r="B17" i="1"/>
  <c r="H16" i="1"/>
  <c r="F16" i="1"/>
  <c r="E16" i="1"/>
  <c r="D16" i="1"/>
  <c r="C16" i="1"/>
  <c r="B16" i="1"/>
  <c r="H15" i="1"/>
  <c r="F15" i="1"/>
  <c r="E15" i="1"/>
  <c r="D15" i="1"/>
  <c r="C15" i="1"/>
  <c r="B15" i="1"/>
  <c r="H14" i="1"/>
  <c r="F14" i="1"/>
  <c r="E14" i="1"/>
  <c r="D14" i="1"/>
  <c r="C14" i="1"/>
  <c r="B14" i="1"/>
  <c r="H13" i="1"/>
  <c r="F13" i="1"/>
  <c r="E13" i="1"/>
  <c r="D13" i="1"/>
  <c r="B13" i="1"/>
  <c r="H12" i="1"/>
  <c r="F12" i="1"/>
  <c r="E12" i="1"/>
  <c r="D12" i="1"/>
  <c r="C12" i="1"/>
  <c r="B12" i="1"/>
  <c r="H11" i="1"/>
  <c r="F11" i="1"/>
  <c r="E11" i="1"/>
  <c r="D11" i="1"/>
  <c r="C11" i="1"/>
  <c r="B11" i="1"/>
  <c r="H10" i="1"/>
  <c r="F10" i="1"/>
  <c r="E10" i="1"/>
  <c r="D10" i="1"/>
  <c r="C10" i="1"/>
  <c r="B10" i="1"/>
  <c r="H9" i="1"/>
  <c r="F9" i="1"/>
  <c r="E9" i="1"/>
  <c r="D9" i="1"/>
  <c r="C9" i="1"/>
  <c r="B9" i="1"/>
  <c r="B8" i="27"/>
  <c r="B9" i="27" s="1"/>
  <c r="B10" i="27" s="1"/>
  <c r="B13" i="27" s="1"/>
  <c r="B7" i="27"/>
  <c r="B6" i="27"/>
  <c r="B16" i="27" l="1"/>
  <c r="K40" i="2"/>
  <c r="C3" i="24"/>
  <c r="H11" i="2"/>
  <c r="H9" i="2"/>
  <c r="H7" i="2"/>
  <c r="H5" i="2"/>
  <c r="H20" i="2"/>
  <c r="H18" i="2"/>
  <c r="H16" i="2"/>
  <c r="H14" i="2"/>
  <c r="K51" i="2"/>
  <c r="K55" i="2"/>
  <c r="K59" i="2"/>
  <c r="D3" i="20"/>
  <c r="C3" i="20" s="1"/>
  <c r="H3" i="20"/>
  <c r="K39" i="2"/>
  <c r="K35" i="2"/>
  <c r="K31" i="2"/>
  <c r="K27" i="2"/>
  <c r="K42" i="2"/>
  <c r="K41" i="2"/>
  <c r="K38" i="2"/>
  <c r="K34" i="2"/>
  <c r="K30" i="2"/>
  <c r="K26" i="2"/>
  <c r="K37" i="2"/>
  <c r="K29" i="2"/>
  <c r="K33" i="2"/>
  <c r="H15" i="2"/>
  <c r="K36" i="2"/>
  <c r="K60" i="2"/>
  <c r="K58" i="2"/>
  <c r="K56" i="2"/>
  <c r="K54" i="2"/>
  <c r="K52" i="2"/>
  <c r="K50" i="2"/>
  <c r="K48" i="2"/>
  <c r="K61" i="2"/>
  <c r="K32" i="2"/>
  <c r="D3" i="24"/>
  <c r="H12" i="2"/>
  <c r="H61" i="2"/>
  <c r="H59" i="2"/>
  <c r="H57" i="2"/>
  <c r="H55" i="2"/>
  <c r="H53" i="2"/>
  <c r="H51" i="2"/>
  <c r="H49" i="2"/>
  <c r="H60" i="2"/>
  <c r="H58" i="2"/>
  <c r="H56" i="2"/>
  <c r="H54" i="2"/>
  <c r="H52" i="2"/>
  <c r="H50" i="2"/>
  <c r="H48" i="2"/>
  <c r="D41" i="26"/>
  <c r="C13" i="1"/>
  <c r="C25" i="1"/>
  <c r="I30" i="24"/>
  <c r="C41" i="26"/>
  <c r="C32" i="1"/>
  <c r="C5" i="1" s="1"/>
  <c r="E29" i="2"/>
  <c r="C6" i="19" s="1"/>
  <c r="E33" i="2"/>
  <c r="C10" i="19" s="1"/>
  <c r="E37" i="2"/>
  <c r="C14" i="19" s="1"/>
  <c r="E41" i="2"/>
  <c r="C18" i="19" s="1"/>
  <c r="C37" i="1"/>
  <c r="C28" i="1"/>
  <c r="E42" i="2"/>
  <c r="E27" i="2"/>
  <c r="C4" i="19" s="1"/>
  <c r="E31" i="2"/>
  <c r="C8" i="19" s="1"/>
  <c r="E35" i="2"/>
  <c r="C12" i="19" s="1"/>
  <c r="E39" i="2"/>
  <c r="C16" i="19" s="1"/>
  <c r="E28" i="2"/>
  <c r="C5" i="19" s="1"/>
  <c r="E32" i="2"/>
  <c r="C9" i="19" s="1"/>
  <c r="E36" i="2"/>
  <c r="C13" i="19" s="1"/>
  <c r="B17" i="27" l="1"/>
  <c r="B19" i="27" s="1"/>
  <c r="F19" i="19"/>
  <c r="I25" i="1" s="1"/>
  <c r="B17" i="19"/>
  <c r="B15" i="19"/>
  <c r="B13" i="19"/>
  <c r="B11" i="19"/>
  <c r="B9" i="19"/>
  <c r="B7" i="19"/>
  <c r="B5" i="19"/>
  <c r="B3" i="19"/>
  <c r="F18" i="19"/>
  <c r="I24" i="1" s="1"/>
  <c r="F16" i="19"/>
  <c r="I22" i="1" s="1"/>
  <c r="F14" i="19"/>
  <c r="I20" i="1" s="1"/>
  <c r="F12" i="19"/>
  <c r="I18" i="1" s="1"/>
  <c r="F10" i="19"/>
  <c r="I16" i="1" s="1"/>
  <c r="F8" i="19"/>
  <c r="I14" i="1" s="1"/>
  <c r="F6" i="19"/>
  <c r="I12" i="1" s="1"/>
  <c r="F4" i="19"/>
  <c r="I10" i="1" s="1"/>
  <c r="B18" i="19"/>
  <c r="B16" i="19"/>
  <c r="B14" i="19"/>
  <c r="B12" i="19"/>
  <c r="B10" i="19"/>
  <c r="B8" i="19"/>
  <c r="B6" i="19"/>
  <c r="B4" i="19"/>
  <c r="F17" i="19"/>
  <c r="I23" i="1" s="1"/>
  <c r="F15" i="19"/>
  <c r="I21" i="1" s="1"/>
  <c r="F13" i="19"/>
  <c r="I19" i="1" s="1"/>
  <c r="F11" i="19"/>
  <c r="I17" i="1" s="1"/>
  <c r="F9" i="19"/>
  <c r="I15" i="1" s="1"/>
  <c r="F7" i="19"/>
  <c r="I13" i="1" s="1"/>
  <c r="F5" i="19"/>
  <c r="I11" i="1" s="1"/>
  <c r="F3" i="19"/>
  <c r="I9" i="1" s="1"/>
  <c r="B21" i="27" l="1"/>
  <c r="B23" i="27" s="1"/>
  <c r="B20" i="27"/>
  <c r="B22" i="27"/>
  <c r="B24" i="2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tc={8A37571A-672C-428F-BD13-49CB775E7CE8}</author>
  </authors>
  <commentList>
    <comment ref="D27" authorId="0" shapeId="0" xr:uid="{00000000-0006-0000-0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HECO Numbers had already adjusted for tax incentives. This column estimates what the price was before: Assumes 10% RETITC For State Credits for Utility Scale (Since it caps at $500,000)]. RETITC NOT applied to Battery Projects. Federal Tax applied at 26% for HHs, and 30% For utility &amp; Commercial.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tc={B18E8AA1-31FC-4855-927E-442CAC4656E9}</author>
  </authors>
  <commentList>
    <comment ref="D1" authorId="0" shapeId="0" xr:uid="{00000000-0006-0000-0A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HECO Numbers had already adjusted for tax incentives. This column estimates what the price was before: Assumes 10% RETITC For State Credits for Utility Scale (Since it caps at $500,000)]. RETITC NOT applied to Battery Projects. Federal Tax applied at 26% for HHs, and 30% For utility &amp; Commercial.</t>
      </text>
    </comment>
  </commentList>
</comments>
</file>

<file path=xl/sharedStrings.xml><?xml version="1.0" encoding="utf-8"?>
<sst xmlns="http://schemas.openxmlformats.org/spreadsheetml/2006/main" count="1318" uniqueCount="313">
  <si>
    <t>Pearl City Public Library</t>
  </si>
  <si>
    <t>PV, BESS, EV Installation Alone</t>
  </si>
  <si>
    <t>PV, BESS, EV</t>
  </si>
  <si>
    <t>Equipment</t>
  </si>
  <si>
    <t>Labor</t>
  </si>
  <si>
    <t>Subtotal</t>
  </si>
  <si>
    <t>Sub contractor JOOH (10%)</t>
  </si>
  <si>
    <t>Subcontractor HOOH (10.2%)</t>
  </si>
  <si>
    <t>Subcontractor Profit (10%)</t>
  </si>
  <si>
    <t>Total</t>
  </si>
  <si>
    <t>Cost Breakdown</t>
  </si>
  <si>
    <t>PV Costs</t>
  </si>
  <si>
    <t>Structural Costs</t>
  </si>
  <si>
    <t>Archictectural Costs</t>
  </si>
  <si>
    <t>Escalation to Midpoint of Construction</t>
  </si>
  <si>
    <t>Design Contingency</t>
  </si>
  <si>
    <t>Markups</t>
  </si>
  <si>
    <t>Prime Contractor JOOH</t>
  </si>
  <si>
    <t>Prime Contracto HOOH</t>
  </si>
  <si>
    <t>Prime Contractor Profit</t>
  </si>
  <si>
    <t>Bond</t>
  </si>
  <si>
    <t>G.E. Tax</t>
  </si>
  <si>
    <t>Further</t>
  </si>
  <si>
    <t>* No Land Costs Included</t>
  </si>
  <si>
    <t>Type of Installation</t>
  </si>
  <si>
    <t>Commercial</t>
  </si>
  <si>
    <t>Battery Storage (4 hr. for Utility, 2 hr. for Commercial)</t>
  </si>
  <si>
    <t>PV + BESS</t>
  </si>
  <si>
    <t>Installation Size (MW) (If Battery only, size is MW)</t>
  </si>
  <si>
    <t>Total Project Costs</t>
  </si>
  <si>
    <t>Select Similar Projects for your Estimate</t>
  </si>
  <si>
    <t>Project Specific Information</t>
  </si>
  <si>
    <t>Anticipated Project Cost Breakdowns</t>
  </si>
  <si>
    <t>Select similar projects to include in calculation</t>
  </si>
  <si>
    <t>Project Costs are currently aggregated (PV &amp; Battery together)
Some projects may have different sized batteries</t>
  </si>
  <si>
    <t>$/W</t>
  </si>
  <si>
    <t>Installation Size (MW)</t>
  </si>
  <si>
    <t>Year Installed</t>
  </si>
  <si>
    <t>Storage Included</t>
  </si>
  <si>
    <t>Cost Breakdown Components</t>
  </si>
  <si>
    <t>Dollar Expenditures</t>
  </si>
  <si>
    <t>Percent of Total Costs</t>
  </si>
  <si>
    <t>No</t>
  </si>
  <si>
    <t>Yes</t>
  </si>
  <si>
    <t>Include in Calculation</t>
  </si>
  <si>
    <t>Project Costs are aggregated (PV &amp; Battery together)
Some projects may have different sized batteries</t>
  </si>
  <si>
    <t>$ / W (Input Dependent Cells)</t>
  </si>
  <si>
    <t>$/W PV &amp; BESS</t>
  </si>
  <si>
    <t>$/W BESS</t>
  </si>
  <si>
    <t>$/W PV</t>
  </si>
  <si>
    <t>HECO IGP Modelling Assumptions for Moloka‘i</t>
  </si>
  <si>
    <t>Per MW Estimate</t>
  </si>
  <si>
    <t>Estimate from 2023</t>
  </si>
  <si>
    <t>NREL National High Cost Estimate (Battery &amp; PV Separate)</t>
  </si>
  <si>
    <t>Estimate from 2022</t>
  </si>
  <si>
    <t>LBNL High End (Battery &amp; PV Separate)</t>
  </si>
  <si>
    <t>LBNL Low End (Battery &amp; PV Separate)</t>
  </si>
  <si>
    <t>LBNL Hawaii Prices (Battery &amp; PV Separate)</t>
  </si>
  <si>
    <t>Estimate from 2018</t>
  </si>
  <si>
    <t>KIUC Anahola, Utility Scale, (12 MW, 6 MW Battery)</t>
  </si>
  <si>
    <t>6MWh</t>
  </si>
  <si>
    <t>KIUC Koloa, Utility Scale, (12 MW, 6 MW Battery)</t>
  </si>
  <si>
    <t>-</t>
  </si>
  <si>
    <t>Waiawa Phase 1, Utility Scale, (36 MW, 144 MWh)</t>
  </si>
  <si>
    <t>144MWh</t>
  </si>
  <si>
    <t>AES West O‘ahu , Utility-Scale, (12.5MW, 50 MWh)</t>
  </si>
  <si>
    <t>50MWh</t>
  </si>
  <si>
    <t>AES Kuihelani, Utility Scale, (60 MW, 240 MWh)</t>
  </si>
  <si>
    <t>Anticipated 2024</t>
  </si>
  <si>
    <t>240MWh</t>
  </si>
  <si>
    <t>Moloka‘i CBRE Projects (2), Pala'au &amp; Kualapu'u, (2.45 MW, 11.1 MWh)</t>
  </si>
  <si>
    <t>Anticipated 2025</t>
  </si>
  <si>
    <t>11.1MWh</t>
  </si>
  <si>
    <t xml:space="preserve">Averages from From Below Data: </t>
  </si>
  <si>
    <t>&lt; 100 kw</t>
  </si>
  <si>
    <t>&gt;= 100 kw</t>
  </si>
  <si>
    <t>*** None of these have storage listed, but NEED to verify for sure!</t>
  </si>
  <si>
    <t>Average Project cost ($/W) PV Only</t>
  </si>
  <si>
    <t>Average Project cost ($/W) PV Plus</t>
  </si>
  <si>
    <t>PV Only</t>
  </si>
  <si>
    <t>PV Capacity (kw)</t>
  </si>
  <si>
    <t>Storage Included?</t>
  </si>
  <si>
    <t>Date Activated</t>
  </si>
  <si>
    <t>Cost ($)</t>
  </si>
  <si>
    <t>$/W Under 100 kw</t>
  </si>
  <si>
    <t>$/W over KW</t>
  </si>
  <si>
    <t>UH Manoa Existing or Under Development</t>
  </si>
  <si>
    <t>Gateway House</t>
  </si>
  <si>
    <t>Frear Hall</t>
  </si>
  <si>
    <t>Gyms 1&amp;2</t>
  </si>
  <si>
    <t>John Burns Hall</t>
  </si>
  <si>
    <t>Gartley Hall</t>
  </si>
  <si>
    <t>Holmes Hall</t>
  </si>
  <si>
    <t>Sinclair Library</t>
  </si>
  <si>
    <t>Warrior Recreation</t>
  </si>
  <si>
    <t>FROG Buildings</t>
  </si>
  <si>
    <t>PBRC</t>
  </si>
  <si>
    <t>Dance Building</t>
  </si>
  <si>
    <t>Cancer Center (Freezer Facility)</t>
  </si>
  <si>
    <t>Parking Permit Zone 1 [Raised]</t>
  </si>
  <si>
    <t>Parking Permit Zone 2 [Raised]</t>
  </si>
  <si>
    <t>Law School Clinical Building</t>
  </si>
  <si>
    <t>Life Sciences Building</t>
  </si>
  <si>
    <t>Johnson Hall A</t>
  </si>
  <si>
    <t>Johnson Hall B</t>
  </si>
  <si>
    <t>Architecrutre Building</t>
  </si>
  <si>
    <t xml:space="preserve">Inouye Center </t>
  </si>
  <si>
    <t>Law Library</t>
  </si>
  <si>
    <t>Sakamaki Hall</t>
  </si>
  <si>
    <t>New Landscape Building</t>
  </si>
  <si>
    <t>Lower Campus Parking Phase 1 [Raised]</t>
  </si>
  <si>
    <t>PV Canopy Transportation Services [Raised]</t>
  </si>
  <si>
    <t>UH Manoa, 2024 Planned</t>
  </si>
  <si>
    <t>Gilmore Mechanical Building</t>
  </si>
  <si>
    <t>Queen Liliuokalani Center</t>
  </si>
  <si>
    <t>Gilmore Hall</t>
  </si>
  <si>
    <t>Biomed Parking Canopy [Raised]</t>
  </si>
  <si>
    <t>Parking Permit Zone 17 - Music Complex [Raised]</t>
  </si>
  <si>
    <t>State Procured</t>
  </si>
  <si>
    <t>YCA Hilo Gym Solar</t>
  </si>
  <si>
    <t>Makena State Park</t>
  </si>
  <si>
    <t>Commercial Scale (1MW)</t>
  </si>
  <si>
    <t>PV Plus Battery (Co-located, DC Coupled)</t>
  </si>
  <si>
    <t>Battery Only</t>
  </si>
  <si>
    <t>Bottom Up Cost Estimate</t>
  </si>
  <si>
    <t>($/MW PV, .6MW 2.4MWh Battery)</t>
  </si>
  <si>
    <t>($/W, with 4 hour .6W storage)</t>
  </si>
  <si>
    <t>% of Total</t>
  </si>
  <si>
    <t>($/MW)</t>
  </si>
  <si>
    <t>($/W)</t>
  </si>
  <si>
    <t>($/.6MW)</t>
  </si>
  <si>
    <t>Engineering, Procurement, Construction /Developer Net Profit</t>
  </si>
  <si>
    <t>Developer Overhead</t>
  </si>
  <si>
    <t>Contingency</t>
  </si>
  <si>
    <t>Transmission Line</t>
  </si>
  <si>
    <t>Interconnection Fee</t>
  </si>
  <si>
    <t>Permitting Fee</t>
  </si>
  <si>
    <t>Land Acquisition</t>
  </si>
  <si>
    <t>Sale Tax</t>
  </si>
  <si>
    <t>EPC Overhead</t>
  </si>
  <si>
    <t>Install labor &amp; Equipment</t>
  </si>
  <si>
    <t>Electrical BOS</t>
  </si>
  <si>
    <t>Structural BOS</t>
  </si>
  <si>
    <t>Bidirectional Inverter</t>
  </si>
  <si>
    <t>Solar Inverter</t>
  </si>
  <si>
    <t>Lithium Ion Battery</t>
  </si>
  <si>
    <t>PV Module</t>
  </si>
  <si>
    <t>Utility Scale (60 MW)</t>
  </si>
  <si>
    <t>PV Plus Battery (Co-located, AC coupled system)</t>
  </si>
  <si>
    <t>($/kW)</t>
  </si>
  <si>
    <t>$/kWh</t>
  </si>
  <si>
    <t>Residential Scale (1MW)</t>
  </si>
  <si>
    <t>PV Plus Battery (Co-located)</t>
  </si>
  <si>
    <t>Battery Only (5kW, 14kWh)</t>
  </si>
  <si>
    <t>($/ 6 kW)</t>
  </si>
  <si>
    <t>$/ W</t>
  </si>
  <si>
    <t>Net Profit</t>
  </si>
  <si>
    <t>Customer Acquisition</t>
  </si>
  <si>
    <t>Overhead</t>
  </si>
  <si>
    <t>Permitting, Inspection, &amp; Interconnection</t>
  </si>
  <si>
    <t>Install Labor &amp; Equipment</t>
  </si>
  <si>
    <t>Sales Tax</t>
  </si>
  <si>
    <t>Supply Chain Costs</t>
  </si>
  <si>
    <t>Battery Inverter</t>
  </si>
  <si>
    <t>PV Inverter</t>
  </si>
  <si>
    <t>PV Modules</t>
  </si>
  <si>
    <t>Moloka‘i CBRE</t>
  </si>
  <si>
    <t>2 Facilities totalling 2.45 MW, 9.8 MWh</t>
  </si>
  <si>
    <t>Percent Breakdown</t>
  </si>
  <si>
    <t>Permitting</t>
  </si>
  <si>
    <t>Interconnection studies</t>
  </si>
  <si>
    <t>Design &amp; Engineering</t>
  </si>
  <si>
    <t>PV &amp; Inverters</t>
  </si>
  <si>
    <t>Batteries</t>
  </si>
  <si>
    <t>Construction</t>
  </si>
  <si>
    <t>Interconnection Facilities</t>
  </si>
  <si>
    <t>Financing, Contingencies &amp; Additional</t>
  </si>
  <si>
    <t>Other</t>
  </si>
  <si>
    <t>$/W Paired</t>
  </si>
  <si>
    <t>Solar Panel Cost Hawaii: Local prices &amp; online estimator (solarreviews.com)</t>
  </si>
  <si>
    <t>Residential Cost Breakdown</t>
  </si>
  <si>
    <t>$/W (Adjusted for 30% Fed Tax Incentive)</t>
  </si>
  <si>
    <t>Inverter</t>
  </si>
  <si>
    <t>Racking &amp; BOS</t>
  </si>
  <si>
    <t>Sales &amp; Marketing</t>
  </si>
  <si>
    <t>Install</t>
  </si>
  <si>
    <t>Petmitting &amp; Inspections</t>
  </si>
  <si>
    <t>Installer Margin</t>
  </si>
  <si>
    <t>Background Worksheet for Estimating Project Costs</t>
  </si>
  <si>
    <t>Method for Estimating Costs &amp; Size</t>
  </si>
  <si>
    <t>Other Informaiton</t>
  </si>
  <si>
    <t xml:space="preserve">Waiawa Phase 1 </t>
  </si>
  <si>
    <t>* Based on Online Permit Values</t>
  </si>
  <si>
    <t>Project Cost</t>
  </si>
  <si>
    <t>$/W, with battery</t>
  </si>
  <si>
    <t>AES West Oahu</t>
  </si>
  <si>
    <t>Total Cost</t>
  </si>
  <si>
    <t>Value from Estimate provided through Environmental Impact Study</t>
  </si>
  <si>
    <t>Project Cost (High)</t>
  </si>
  <si>
    <t>$/W, with storage</t>
  </si>
  <si>
    <t>KIUC ANAHOLA SOLAR PROJECT</t>
  </si>
  <si>
    <t>* Value from Estimate in Draft EIS</t>
  </si>
  <si>
    <t>Solar Costs</t>
  </si>
  <si>
    <t>Substation</t>
  </si>
  <si>
    <t>BESS</t>
  </si>
  <si>
    <t>Service Center</t>
  </si>
  <si>
    <t>Other Costs</t>
  </si>
  <si>
    <t>Total Costs</t>
  </si>
  <si>
    <t>$/W, PV</t>
  </si>
  <si>
    <t>$/W Battery</t>
  </si>
  <si>
    <t>* Assumes all other costs split evenly between battery &amp; solar</t>
  </si>
  <si>
    <t>KIUC KOLOA</t>
  </si>
  <si>
    <t>* Value from PUC Filing</t>
  </si>
  <si>
    <t>$/W, with 2 hr storage</t>
  </si>
  <si>
    <t>HECO IGP Forecasted Costs (Moloka‘i, 2023)</t>
  </si>
  <si>
    <t>$/kW</t>
  </si>
  <si>
    <t>$/W, Adjusted for Federal Tax</t>
  </si>
  <si>
    <t>O&amp;M Cost per kW</t>
  </si>
  <si>
    <t>O&amp;M Cost per W</t>
  </si>
  <si>
    <t>Paired Grid-Scale PV (Single axis tracking)</t>
  </si>
  <si>
    <t xml:space="preserve">PV Grid Scale Single Axis Tracking (2023): </t>
  </si>
  <si>
    <t>Commercial-Scale PV</t>
  </si>
  <si>
    <t>Residential PV</t>
  </si>
  <si>
    <t>Standalone Storage</t>
  </si>
  <si>
    <t>Standalone Storage (BOS)</t>
  </si>
  <si>
    <t>Standalone Storage (Modules)</t>
  </si>
  <si>
    <t>Commercial Scale Storage (2 hours)</t>
  </si>
  <si>
    <t>Commercial Scale Storage (4 hours)</t>
  </si>
  <si>
    <t>Residential  Storage (2 hours)</t>
  </si>
  <si>
    <t>Residential  Storage (4 hours)</t>
  </si>
  <si>
    <t>PV Plus Battery</t>
  </si>
  <si>
    <t>AES Kuihelani</t>
  </si>
  <si>
    <t>* Value from Estimate Permit Applications</t>
  </si>
  <si>
    <t>System Size: 60 MW, 240 MWh</t>
  </si>
  <si>
    <t>$/W with storage:</t>
  </si>
  <si>
    <t>** More realistic - they have a quote of $68M in local economic expenditures, but I can't verify</t>
  </si>
  <si>
    <t>AES Breaks Ground on Hawaiʻi's Largest Solar Project: Kuihelani Solar Plus Storage on Maui | AES Hawai‘i (aes-hawaii.com)</t>
  </si>
  <si>
    <t>CBRE Projects Moloka‘i</t>
  </si>
  <si>
    <t>2 Projects</t>
  </si>
  <si>
    <t xml:space="preserve">2.45MW + 11.1MWh </t>
  </si>
  <si>
    <t>Project 1 (Pala'au)</t>
  </si>
  <si>
    <t>2.2 + 10.1</t>
  </si>
  <si>
    <t>Project 2 (Kualapu'u)</t>
  </si>
  <si>
    <t>.250 + 1</t>
  </si>
  <si>
    <t>Anticipated Project Capital Costs</t>
  </si>
  <si>
    <t>$/W PV Plus</t>
  </si>
  <si>
    <t>NREL</t>
  </si>
  <si>
    <t>$/MW</t>
  </si>
  <si>
    <t>PV Cost (National High)</t>
  </si>
  <si>
    <t>$/Wh</t>
  </si>
  <si>
    <t>$/MWh</t>
  </si>
  <si>
    <t>Battery Cost (National High)</t>
  </si>
  <si>
    <t>LBNL</t>
  </si>
  <si>
    <t>PV Cost (Low)</t>
  </si>
  <si>
    <t>PV Cost (Middle)</t>
  </si>
  <si>
    <t>PV Cost (High) (HI)</t>
  </si>
  <si>
    <t>Battery Cost (Low)</t>
  </si>
  <si>
    <t>Battery Cost (High)</t>
  </si>
  <si>
    <t>Low End</t>
  </si>
  <si>
    <t>High End</t>
  </si>
  <si>
    <t>Low end w/o ITC &amp; RETITC</t>
  </si>
  <si>
    <t>High end w/o ITC &amp; RETITC</t>
  </si>
  <si>
    <t>PV Only Price Range (6 kW)</t>
  </si>
  <si>
    <t>PV Plus Price Range (6kW, 13.5 kWh)</t>
  </si>
  <si>
    <t>Type of Install (1)</t>
  </si>
  <si>
    <t>Type of Install (2)</t>
  </si>
  <si>
    <t>Check Box</t>
  </si>
  <si>
    <t>PV</t>
  </si>
  <si>
    <t>Utility-Scale</t>
  </si>
  <si>
    <t>Utility Scale</t>
  </si>
  <si>
    <t>Commercial Scale</t>
  </si>
  <si>
    <t>Cost Breakdown Components:</t>
  </si>
  <si>
    <t>UH w/o Price Provided</t>
  </si>
  <si>
    <t>Marine Center (Pier 34)</t>
  </si>
  <si>
    <t>Cancer Center</t>
  </si>
  <si>
    <t>Institute for Astronomy mid-level facility (Maunakwa)</t>
  </si>
  <si>
    <t>Education Building</t>
  </si>
  <si>
    <t>Lāna‘i Suites</t>
  </si>
  <si>
    <t>Hawai‘i Institute of Marine Biology</t>
  </si>
  <si>
    <t>Pauly-Pagen Marine Lab</t>
  </si>
  <si>
    <t>missing</t>
  </si>
  <si>
    <t>Manoa Parking Structure Phase 2</t>
  </si>
  <si>
    <t>Lyon Arboretum Cottage C</t>
  </si>
  <si>
    <t>Lyon Arboretum Cottage H</t>
  </si>
  <si>
    <t>Other Bids missing Info</t>
  </si>
  <si>
    <t>Year Bid</t>
  </si>
  <si>
    <t>$</t>
  </si>
  <si>
    <t>system kw</t>
  </si>
  <si>
    <t>Anuenue Fisheries Research Center Photovoltaic System</t>
  </si>
  <si>
    <t xml:space="preserve">Approximated Values: 42 kw PV, </t>
  </si>
  <si>
    <t>HI Army Nat'l Guard Install</t>
  </si>
  <si>
    <r>
      <t xml:space="preserve">CONSTRUCTION OF </t>
    </r>
    <r>
      <rPr>
        <b/>
        <sz val="11"/>
        <color theme="1"/>
        <rFont val="Calibri"/>
        <family val="2"/>
        <scheme val="minor"/>
      </rPr>
      <t>PARKING AND Raised PHOTOVOLTAIC SYSTEM</t>
    </r>
    <r>
      <rPr>
        <sz val="11"/>
        <color theme="1"/>
        <rFont val="Calibri"/>
        <family val="2"/>
        <scheme val="minor"/>
      </rPr>
      <t xml:space="preserve"> AT B29, KALAELOA, OAHU, STATE OF Hawai‘i</t>
    </r>
  </si>
  <si>
    <t>2602265.5* Includes other work…</t>
  </si>
  <si>
    <t>MARINE CENTER PHOTOVOLTAIC SYSTEM ADDITION</t>
  </si>
  <si>
    <t>DESIGN-BUILD CONSTRUCTION PROJECT MARINE CENTER PHOTOVOLTAIC SYSTEM ADDITION</t>
  </si>
  <si>
    <t>TBD</t>
  </si>
  <si>
    <t>Installation of Photovoltaic, Kauai Community College, Campus Wide.</t>
  </si>
  <si>
    <t>95.65?</t>
  </si>
  <si>
    <t>DAGS JOB NO. 62-10-0838 KANEOHE CIVIC CENTER - REROOF AND INSTALL PHOTOVOLTAIC SYSTEM</t>
  </si>
  <si>
    <t>DAGS JOB NO. 65-10-0842 MOLOKAI STATE OFFICE BUILDING NOS. 1 &amp; 2 - INSTALL PHOTOVOLTAIC SYSTEMS</t>
  </si>
  <si>
    <t>Rooftop PV System at the Natural Energy Laboratory of Hawaii Authority in Kona Hawai‘i</t>
  </si>
  <si>
    <t>PLAN | KIND  INSIGHTS</t>
  </si>
  <si>
    <t>Commercial Energy Project Price Estimator</t>
  </si>
  <si>
    <t>FINANCIAL MODELING · SCENARIO ANALYSIS · ENERGY POLICY</t>
  </si>
  <si>
    <t>PURPOSE</t>
  </si>
  <si>
    <t>Organizes component costs and benchmark estimates to support early-stage comparison of commercial and utility-scale energy projects.</t>
  </si>
  <si>
    <t>HOW TO USE</t>
  </si>
  <si>
    <t>Review the Cost Calculator and scenario sheets. Confirm all assumptions before using outputs for planning.</t>
  </si>
  <si>
    <t>IMPORTANT</t>
  </si>
  <si>
    <t>Portfolio copy of a planning model. Estimates are not bids, engineering designs, or investment advice.</t>
  </si>
  <si>
    <t>PORTFOLIO NOTE</t>
  </si>
  <si>
    <t>This workbook is a cleaned presentation copy of prior analytical work. Core calculations and substantive content have not been rewritten.</t>
  </si>
  <si>
    <t>Grounded in evidence. Focused on impact.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</si>
</sst>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</numFmts>
  <fonts count="14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0"/>
      <name val="Calibri"/>
    </font>
    <font>
      <sz val="11"/>
      <name val="Calibri"/>
    </font>
    <font>
      <sz val="12"/>
      <color rgb="FF222222"/>
      <name val="Tahoma"/>
    </font>
    <font>
      <b/>
      <sz val="20"/>
      <color rgb="FFFFFFFF"/>
      <name val="Calibri"/>
    </font>
    <font>
      <b/>
      <sz val="24"/>
      <color rgb="FF12323A"/>
      <name val="Calibri"/>
    </font>
    <font>
      <b/>
      <sz val="10"/>
      <color rgb="FF12323A"/>
      <name val="Calibri"/>
    </font>
    <font>
      <b/>
      <sz val="9"/>
      <color rgb="FFEC7757"/>
      <name val="Calibri"/>
    </font>
    <font>
      <sz val="11"/>
      <color rgb="FF162F35"/>
      <name val="Calibri"/>
    </font>
    <font>
      <i/>
      <sz val="10"/>
      <color rgb="FF647477"/>
      <name val="Calibri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79995117038483843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2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1"/>
      </patternFill>
    </fill>
    <fill>
      <patternFill patternType="solid">
        <fgColor rgb="FF12323A"/>
      </patternFill>
    </fill>
    <fill>
      <patternFill patternType="solid">
        <fgColor rgb="FFEC7757"/>
      </patternFill>
    </fill>
    <fill>
      <patternFill patternType="solid">
        <fgColor rgb="FFF3F0E7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D1D9D5"/>
      </left>
      <right/>
      <top style="thin">
        <color rgb="FFD1D9D5"/>
      </top>
      <bottom/>
      <diagonal/>
    </border>
    <border>
      <left/>
      <right/>
      <top style="thin">
        <color rgb="FFD1D9D5"/>
      </top>
      <bottom/>
      <diagonal/>
    </border>
    <border>
      <left/>
      <right style="thin">
        <color rgb="FFD1D9D5"/>
      </right>
      <top style="thin">
        <color rgb="FFD1D9D5"/>
      </top>
      <bottom/>
      <diagonal/>
    </border>
    <border>
      <left style="thin">
        <color rgb="FFD1D9D5"/>
      </left>
      <right/>
      <top/>
      <bottom/>
      <diagonal/>
    </border>
    <border>
      <left/>
      <right style="thin">
        <color rgb="FFD1D9D5"/>
      </right>
      <top/>
      <bottom/>
      <diagonal/>
    </border>
    <border>
      <left style="thin">
        <color rgb="FFD1D9D5"/>
      </left>
      <right/>
      <top/>
      <bottom style="thin">
        <color rgb="FFD1D9D5"/>
      </bottom>
      <diagonal/>
    </border>
    <border>
      <left/>
      <right/>
      <top/>
      <bottom style="thin">
        <color rgb="FFD1D9D5"/>
      </bottom>
      <diagonal/>
    </border>
    <border>
      <left/>
      <right style="thin">
        <color rgb="FFD1D9D5"/>
      </right>
      <top/>
      <bottom style="thin">
        <color rgb="FFD1D9D5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4">
    <xf numFmtId="0" fontId="0" fillId="0" borderId="0" xfId="0"/>
    <xf numFmtId="0" fontId="4" fillId="0" borderId="0" xfId="3"/>
    <xf numFmtId="0" fontId="4" fillId="0" borderId="0" xfId="3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0" borderId="1" xfId="3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9" fontId="0" fillId="0" borderId="0" xfId="2" applyFont="1"/>
    <xf numFmtId="164" fontId="0" fillId="0" borderId="0" xfId="2" applyNumberFormat="1" applyFont="1"/>
    <xf numFmtId="2" fontId="0" fillId="0" borderId="0" xfId="0" applyNumberFormat="1"/>
    <xf numFmtId="0" fontId="0" fillId="5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0" fontId="5" fillId="0" borderId="0" xfId="3" applyFont="1" applyAlignment="1">
      <alignment wrapText="1"/>
    </xf>
    <xf numFmtId="0" fontId="4" fillId="0" borderId="0" xfId="4" applyAlignment="1">
      <alignment wrapText="1"/>
    </xf>
    <xf numFmtId="0" fontId="4" fillId="0" borderId="0" xfId="4"/>
    <xf numFmtId="0" fontId="0" fillId="7" borderId="0" xfId="0" applyFill="1"/>
    <xf numFmtId="44" fontId="0" fillId="0" borderId="0" xfId="0" applyNumberFormat="1"/>
    <xf numFmtId="0" fontId="5" fillId="0" borderId="0" xfId="4" applyFont="1" applyBorder="1"/>
    <xf numFmtId="0" fontId="5" fillId="0" borderId="0" xfId="0" applyFont="1"/>
    <xf numFmtId="0" fontId="5" fillId="0" borderId="0" xfId="0" applyFont="1" applyAlignment="1">
      <alignment vertical="center"/>
    </xf>
    <xf numFmtId="1" fontId="0" fillId="0" borderId="0" xfId="0" applyNumberFormat="1"/>
    <xf numFmtId="164" fontId="0" fillId="0" borderId="0" xfId="2" applyNumberFormat="1" applyFont="1" applyAlignment="1">
      <alignment wrapText="1"/>
    </xf>
    <xf numFmtId="2" fontId="0" fillId="8" borderId="0" xfId="0" applyNumberFormat="1" applyFill="1"/>
    <xf numFmtId="0" fontId="3" fillId="0" borderId="0" xfId="0" applyFont="1"/>
    <xf numFmtId="0" fontId="0" fillId="0" borderId="0" xfId="0" applyAlignment="1">
      <alignment horizontal="center" vertical="center"/>
    </xf>
    <xf numFmtId="4" fontId="0" fillId="0" borderId="0" xfId="0" applyNumberFormat="1"/>
    <xf numFmtId="14" fontId="0" fillId="0" borderId="0" xfId="0" applyNumberFormat="1" applyAlignment="1">
      <alignment wrapText="1"/>
    </xf>
    <xf numFmtId="14" fontId="6" fillId="0" borderId="0" xfId="0" applyNumberFormat="1" applyFont="1"/>
    <xf numFmtId="0" fontId="4" fillId="0" borderId="0" xfId="3" applyFill="1"/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1" applyNumberFormat="1" applyFont="1" applyAlignment="1">
      <alignment horizontal="center" vertical="center"/>
    </xf>
    <xf numFmtId="0" fontId="0" fillId="4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 wrapText="1"/>
    </xf>
    <xf numFmtId="44" fontId="0" fillId="0" borderId="0" xfId="1" applyFont="1" applyAlignment="1">
      <alignment wrapText="1"/>
    </xf>
    <xf numFmtId="0" fontId="0" fillId="11" borderId="0" xfId="0" applyFill="1"/>
    <xf numFmtId="0" fontId="0" fillId="11" borderId="0" xfId="0" applyFill="1" applyAlignment="1">
      <alignment wrapText="1"/>
    </xf>
    <xf numFmtId="0" fontId="0" fillId="0" borderId="0" xfId="0" applyAlignment="1">
      <alignment horizontal="center"/>
    </xf>
    <xf numFmtId="44" fontId="0" fillId="0" borderId="0" xfId="1" applyFont="1"/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7" fillId="1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13" borderId="0" xfId="0" applyFont="1" applyFill="1" applyAlignment="1">
      <alignment vertical="center"/>
    </xf>
    <xf numFmtId="0" fontId="10" fillId="0" borderId="0" xfId="0" applyFont="1" applyAlignment="1">
      <alignment vertical="top"/>
    </xf>
    <xf numFmtId="0" fontId="11" fillId="14" borderId="3" xfId="0" applyFont="1" applyFill="1" applyBorder="1" applyAlignment="1">
      <alignment vertical="center" wrapText="1"/>
    </xf>
    <xf numFmtId="0" fontId="11" fillId="14" borderId="4" xfId="0" applyFont="1" applyFill="1" applyBorder="1" applyAlignment="1">
      <alignment vertical="center" wrapText="1"/>
    </xf>
    <xf numFmtId="0" fontId="11" fillId="14" borderId="5" xfId="0" applyFont="1" applyFill="1" applyBorder="1" applyAlignment="1">
      <alignment vertical="center" wrapText="1"/>
    </xf>
    <xf numFmtId="0" fontId="11" fillId="14" borderId="6" xfId="0" applyFont="1" applyFill="1" applyBorder="1" applyAlignment="1">
      <alignment vertical="center" wrapText="1"/>
    </xf>
    <xf numFmtId="0" fontId="11" fillId="14" borderId="0" xfId="0" applyFont="1" applyFill="1" applyAlignment="1">
      <alignment vertical="center" wrapText="1"/>
    </xf>
    <xf numFmtId="0" fontId="11" fillId="14" borderId="7" xfId="0" applyFont="1" applyFill="1" applyBorder="1" applyAlignment="1">
      <alignment vertical="center" wrapText="1"/>
    </xf>
    <xf numFmtId="0" fontId="11" fillId="14" borderId="8" xfId="0" applyFont="1" applyFill="1" applyBorder="1" applyAlignment="1">
      <alignment vertical="center" wrapText="1"/>
    </xf>
    <xf numFmtId="0" fontId="11" fillId="14" borderId="9" xfId="0" applyFont="1" applyFill="1" applyBorder="1" applyAlignment="1">
      <alignment vertical="center" wrapText="1"/>
    </xf>
    <xf numFmtId="0" fontId="11" fillId="14" borderId="10" xfId="0" applyFont="1" applyFill="1" applyBorder="1" applyAlignment="1">
      <alignment vertical="center" wrapText="1"/>
    </xf>
    <xf numFmtId="0" fontId="12" fillId="0" borderId="0" xfId="0" applyFont="1"/>
  </cellXfs>
  <cellStyles count="7">
    <cellStyle name="Currency" xfId="1" xr:uid="{00000000-0005-0000-0000-000000000000}"/>
    <cellStyle name="Currency 2" xfId="6" xr:uid="{00000000-0005-0000-0000-000001000000}"/>
    <cellStyle name="Hyperlink" xfId="3" xr:uid="{00000000-0005-0000-0000-000002000000}"/>
    <cellStyle name="Hyperlink 2" xfId="4" xr:uid="{00000000-0005-0000-0000-000003000000}"/>
    <cellStyle name="Normal" xfId="0" builtinId="0"/>
    <cellStyle name="Percent" xfId="2" xr:uid="{00000000-0005-0000-0000-000005000000}"/>
    <cellStyle name="Percent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45</xdr:row>
      <xdr:rowOff>762000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62C7E84-D4D0-882E-453A-65B9171B144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50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8B38DF70-F952-6B91-0A81-69460D5274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ller, Luke F" id="{5F8A2B5C-CE7C-4936-A4BC-F4BE8A563492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7" dT="2023-12-19T00:03:24.05" personId="{5F8A2B5C-CE7C-4936-A4BC-F4BE8A563492}" id="{8A37571A-672C-428F-BD13-49CB775E7CE8}">
    <text>HECO Numbers had already adjusted for tax incentives. This column estimates what the price was before: Assumes 10% RETITC For State Credits for Utility Scale (Since it caps at $500,000)]. RETITC NOT applied to Battery Projects. Federal Tax applied at 26% for HHs, and 30% For utility &amp; Commercial.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3-12-19T00:03:24.05" personId="{5F8A2B5C-CE7C-4936-A4BC-F4BE8A563492}" id="{B18E8AA1-31FC-4855-927E-442CAC4656E9}">
    <text>HECO Numbers had already adjusted for tax incentives. This column estimates what the price was before: Assumes 10% RETITC For State Credits for Utility Scale (Since it caps at $500,000)]. RETITC NOT applied to Battery Projects. Federal Tax applied at 26% for HHs, and 30% For utility &amp; Commercial.</text>
  </threadedComment>
</ThreadedComment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hiepro.ehawaii.gov/public-display-award.html?rfid=13078" TargetMode="External"/><Relationship Id="rId1" Type="http://schemas.openxmlformats.org/officeDocument/2006/relationships/hyperlink" Target="https://hiepro.ehawaii.gov/public-display-award.html?rfid=1330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b.nrel.gov/electricity/2021/residential_battery_storage" TargetMode="External"/><Relationship Id="rId2" Type="http://schemas.openxmlformats.org/officeDocument/2006/relationships/hyperlink" Target="https://atb.nrel.gov/electricity/2021/utility-scale_pv-plus-battery" TargetMode="External"/><Relationship Id="rId1" Type="http://schemas.openxmlformats.org/officeDocument/2006/relationships/hyperlink" Target="https://atb.nrel.gov/electricity/2021/commercial_battery_storage" TargetMode="External"/><Relationship Id="rId4" Type="http://schemas.openxmlformats.org/officeDocument/2006/relationships/hyperlink" Target="https://www.solarreviews.com/solar-panel-cost/hawaii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Waiawa%20Phase%201" TargetMode="External"/><Relationship Id="rId13" Type="http://schemas.openxmlformats.org/officeDocument/2006/relationships/hyperlink" Target="https://view.officeapps.live.com/op/view.aspx?src=https%3A%2F%2Feta-publications.lbl.gov%2Fsites%2Fdefault%2Ffiles%2F2023_utility-scale_solar_data_update.xlsx&amp;wdOrigin=BROWSELINK" TargetMode="External"/><Relationship Id="rId3" Type="http://schemas.openxmlformats.org/officeDocument/2006/relationships/hyperlink" Target="Waiawa%20Phase%201" TargetMode="External"/><Relationship Id="rId7" Type="http://schemas.openxmlformats.org/officeDocument/2006/relationships/hyperlink" Target="https://www.hawaiianelectric.com/a/10686" TargetMode="External"/><Relationship Id="rId12" Type="http://schemas.openxmlformats.org/officeDocument/2006/relationships/hyperlink" Target="https://data.openei.org/submissions/4129" TargetMode="External"/><Relationship Id="rId17" Type="http://schemas.microsoft.com/office/2017/10/relationships/threadedComment" Target="../threadedComments/threadedComment1.xml"/><Relationship Id="rId2" Type="http://schemas.openxmlformats.org/officeDocument/2006/relationships/hyperlink" Target="https://qpublic.schneidercorp.com/Application.aspx?AppID=1045&amp;LayerID=23342&amp;PageTypeID=4&amp;PageID=9746&amp;Q=632796315&amp;KeyValue=960040240000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www.hawaiianelectric.com/clean-energy-hawaii/our-clean-energy-portfolio/renewable-project-status-board" TargetMode="External"/><Relationship Id="rId6" Type="http://schemas.openxmlformats.org/officeDocument/2006/relationships/hyperlink" Target="https://dms.puc.hawaii.gov/dms/DocumentViewer?pid=A1001001A13F20B13817F30860" TargetMode="External"/><Relationship Id="rId11" Type="http://schemas.openxmlformats.org/officeDocument/2006/relationships/hyperlink" Target="https://www.capitol.hawaii.gov/sessions/session2023/2023GIA-Apps/Ho'ahu%20Energy%20Cooperative%20Molokai%20CIP_Redacted.pdf" TargetMode="External"/><Relationship Id="rId5" Type="http://schemas.openxmlformats.org/officeDocument/2006/relationships/hyperlink" Target="Waiawa%20Phase%201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www.aes-hawaii.com/press-release/aes-breaks-ground-hawaiis-largest-solar-project-kuihelani-solar-plus-storage" TargetMode="External"/><Relationship Id="rId4" Type="http://schemas.openxmlformats.org/officeDocument/2006/relationships/hyperlink" Target="https://www.rd.usda.gov/sites/default/files/UWP_HI01-KIUC_Anahola_FinalEA.pdf" TargetMode="External"/><Relationship Id="rId9" Type="http://schemas.openxmlformats.org/officeDocument/2006/relationships/hyperlink" Target="https://qpublic.schneidercorp.com/Application.aspx?AppID=1029&amp;LayerID=21689&amp;PageTypeID=3&amp;PageID=9250&amp;Q=673246569" TargetMode="External"/><Relationship Id="rId1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qpublic.schneidercorp.com/Application.aspx?AppID=1045&amp;LayerID=23342&amp;PageTypeID=4&amp;PageID=9746&amp;Q=632796315&amp;KeyValue=960040240000" TargetMode="External"/><Relationship Id="rId1" Type="http://schemas.openxmlformats.org/officeDocument/2006/relationships/hyperlink" Target="https://www.hawaiianelectric.com/clean-energy-hawaii/our-clean-energy-portfolio/renewable-project-status-board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Waiawa%20Phase%20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d.usda.gov/sites/default/files/UWP_HI01-KIUC_Anahola_FinalEA.pdf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dms.puc.hawaii.gov/dms/DocumentViewer?pid=A1001001A13F20B13817F30860" TargetMode="External"/><Relationship Id="rId1" Type="http://schemas.openxmlformats.org/officeDocument/2006/relationships/hyperlink" Target="Waiawa%20Phase%201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hyperlink" Target="https://www.hawaiianelectric.com/a/10686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es-hawaii.com/press-release/aes-breaks-ground-hawaiis-largest-solar-project-kuihelani-solar-plus-storage" TargetMode="External"/><Relationship Id="rId2" Type="http://schemas.openxmlformats.org/officeDocument/2006/relationships/hyperlink" Target="https://qpublic.schneidercorp.com/Application.aspx?AppID=1029&amp;LayerID=21689&amp;PageTypeID=3&amp;PageID=9250&amp;Q=673246569" TargetMode="External"/><Relationship Id="rId1" Type="http://schemas.openxmlformats.org/officeDocument/2006/relationships/hyperlink" Target="Waiawa%20Phase%201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pitol.hawaii.gov/sessions/session2023/2023GIA-Apps/Ho'ahu%20Energy%20Cooperative%20Molokai%20CIP_Redacted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openei.org/submissions/412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view.officeapps.live.com/op/view.aspx?src=https%3A%2F%2Feta-publications.lbl.gov%2Fsites%2Fdefault%2Ffiles%2F2023_utility-scale_solar_data_update.xlsx&amp;wdOrigin=BROWSELINK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larreviews.com/solar-estimator?zip_code=96734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hands.ehawaii.gov/hands/awards/award-details/663" TargetMode="External"/><Relationship Id="rId2" Type="http://schemas.openxmlformats.org/officeDocument/2006/relationships/hyperlink" Target="https://hands.ehawaii.gov/hands/awards/award-details/154279" TargetMode="External"/><Relationship Id="rId1" Type="http://schemas.openxmlformats.org/officeDocument/2006/relationships/hyperlink" Target="https://hands.ehawaii.gov/hands/opportunities/opportunity-details/19316" TargetMode="External"/><Relationship Id="rId6" Type="http://schemas.openxmlformats.org/officeDocument/2006/relationships/hyperlink" Target="https://hands.ehawaii.gov/hands/awards/award-details/77597" TargetMode="External"/><Relationship Id="rId5" Type="http://schemas.openxmlformats.org/officeDocument/2006/relationships/hyperlink" Target="https://hands.ehawaii.gov/hands/awards/award-details/153509" TargetMode="External"/><Relationship Id="rId4" Type="http://schemas.openxmlformats.org/officeDocument/2006/relationships/hyperlink" Target="https://hands.ehawaii.gov/hands/awards/award-details/1513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6"/>
  <sheetViews>
    <sheetView showGridLines="0" tabSelected="1" workbookViewId="0">
      <selection sqref="A1:H2"/>
    </sheetView>
  </sheetViews>
  <sheetFormatPr defaultRowHeight="15" x14ac:dyDescent="0.25"/>
  <cols>
    <col min="1" max="8" width="14" customWidth="1"/>
  </cols>
  <sheetData>
    <row r="1" spans="1:8" ht="21.95" customHeight="1" x14ac:dyDescent="0.25">
      <c r="A1" s="60" t="s">
        <v>301</v>
      </c>
      <c r="B1" s="60"/>
      <c r="C1" s="60"/>
      <c r="D1" s="60"/>
      <c r="E1" s="60"/>
      <c r="F1" s="60"/>
      <c r="G1" s="60"/>
      <c r="H1" s="60"/>
    </row>
    <row r="2" spans="1:8" ht="21.95" customHeight="1" x14ac:dyDescent="0.25">
      <c r="A2" s="60"/>
      <c r="B2" s="60"/>
      <c r="C2" s="60"/>
      <c r="D2" s="60"/>
      <c r="E2" s="60"/>
      <c r="F2" s="60"/>
      <c r="G2" s="60"/>
      <c r="H2" s="60"/>
    </row>
    <row r="3" spans="1:8" ht="21.95" customHeight="1" x14ac:dyDescent="0.25"/>
    <row r="4" spans="1:8" ht="27.95" customHeight="1" x14ac:dyDescent="0.25">
      <c r="A4" s="61" t="s">
        <v>302</v>
      </c>
      <c r="B4" s="61"/>
      <c r="C4" s="61"/>
      <c r="D4" s="61"/>
      <c r="E4" s="61"/>
      <c r="F4" s="61"/>
      <c r="G4" s="61"/>
      <c r="H4" s="61"/>
    </row>
    <row r="5" spans="1:8" ht="27.95" customHeight="1" x14ac:dyDescent="0.25">
      <c r="A5" s="61"/>
      <c r="B5" s="61"/>
      <c r="C5" s="61"/>
      <c r="D5" s="61"/>
      <c r="E5" s="61"/>
      <c r="F5" s="61"/>
      <c r="G5" s="61"/>
      <c r="H5" s="61"/>
    </row>
    <row r="6" spans="1:8" ht="21.95" customHeight="1" x14ac:dyDescent="0.25"/>
    <row r="7" spans="1:8" ht="21.95" customHeight="1" x14ac:dyDescent="0.25">
      <c r="A7" s="62" t="s">
        <v>303</v>
      </c>
      <c r="B7" s="62"/>
      <c r="C7" s="62"/>
      <c r="D7" s="62"/>
      <c r="E7" s="62"/>
      <c r="F7" s="62"/>
      <c r="G7" s="62"/>
      <c r="H7" s="62"/>
    </row>
    <row r="8" spans="1:8" ht="21.95" customHeight="1" x14ac:dyDescent="0.25"/>
    <row r="9" spans="1:8" ht="21.95" customHeight="1" x14ac:dyDescent="0.25">
      <c r="A9" s="63" t="s">
        <v>304</v>
      </c>
      <c r="B9" s="63" t="s">
        <v>304</v>
      </c>
      <c r="C9" s="64" t="s">
        <v>305</v>
      </c>
      <c r="D9" s="65" t="s">
        <v>305</v>
      </c>
      <c r="E9" s="65" t="s">
        <v>305</v>
      </c>
      <c r="F9" s="65" t="s">
        <v>305</v>
      </c>
      <c r="G9" s="65" t="s">
        <v>305</v>
      </c>
      <c r="H9" s="66" t="s">
        <v>305</v>
      </c>
    </row>
    <row r="10" spans="1:8" ht="21.95" customHeight="1" x14ac:dyDescent="0.25">
      <c r="C10" s="67" t="s">
        <v>305</v>
      </c>
      <c r="D10" s="68" t="s">
        <v>305</v>
      </c>
      <c r="E10" s="68" t="s">
        <v>305</v>
      </c>
      <c r="F10" s="68" t="s">
        <v>305</v>
      </c>
      <c r="G10" s="68" t="s">
        <v>305</v>
      </c>
      <c r="H10" s="69" t="s">
        <v>305</v>
      </c>
    </row>
    <row r="11" spans="1:8" ht="21.95" customHeight="1" x14ac:dyDescent="0.25">
      <c r="C11" s="70" t="s">
        <v>305</v>
      </c>
      <c r="D11" s="71" t="s">
        <v>305</v>
      </c>
      <c r="E11" s="71" t="s">
        <v>305</v>
      </c>
      <c r="F11" s="71" t="s">
        <v>305</v>
      </c>
      <c r="G11" s="71" t="s">
        <v>305</v>
      </c>
      <c r="H11" s="72" t="s">
        <v>305</v>
      </c>
    </row>
    <row r="12" spans="1:8" ht="21.95" customHeight="1" x14ac:dyDescent="0.25"/>
    <row r="13" spans="1:8" ht="21.95" customHeight="1" x14ac:dyDescent="0.25">
      <c r="A13" s="63" t="s">
        <v>306</v>
      </c>
      <c r="B13" s="63" t="s">
        <v>306</v>
      </c>
      <c r="C13" s="64" t="s">
        <v>307</v>
      </c>
      <c r="D13" s="65" t="s">
        <v>307</v>
      </c>
      <c r="E13" s="65" t="s">
        <v>307</v>
      </c>
      <c r="F13" s="65" t="s">
        <v>307</v>
      </c>
      <c r="G13" s="65" t="s">
        <v>307</v>
      </c>
      <c r="H13" s="66" t="s">
        <v>307</v>
      </c>
    </row>
    <row r="14" spans="1:8" ht="21.95" customHeight="1" x14ac:dyDescent="0.25">
      <c r="C14" s="67" t="s">
        <v>307</v>
      </c>
      <c r="D14" s="68" t="s">
        <v>307</v>
      </c>
      <c r="E14" s="68" t="s">
        <v>307</v>
      </c>
      <c r="F14" s="68" t="s">
        <v>307</v>
      </c>
      <c r="G14" s="68" t="s">
        <v>307</v>
      </c>
      <c r="H14" s="69" t="s">
        <v>307</v>
      </c>
    </row>
    <row r="15" spans="1:8" ht="21.95" customHeight="1" x14ac:dyDescent="0.25">
      <c r="C15" s="70" t="s">
        <v>307</v>
      </c>
      <c r="D15" s="71" t="s">
        <v>307</v>
      </c>
      <c r="E15" s="71" t="s">
        <v>307</v>
      </c>
      <c r="F15" s="71" t="s">
        <v>307</v>
      </c>
      <c r="G15" s="71" t="s">
        <v>307</v>
      </c>
      <c r="H15" s="72" t="s">
        <v>307</v>
      </c>
    </row>
    <row r="16" spans="1:8" ht="21.95" customHeight="1" x14ac:dyDescent="0.25"/>
    <row r="17" spans="1:8" ht="21.95" customHeight="1" x14ac:dyDescent="0.25">
      <c r="A17" s="63" t="s">
        <v>308</v>
      </c>
      <c r="B17" s="63" t="s">
        <v>308</v>
      </c>
      <c r="C17" s="64" t="s">
        <v>309</v>
      </c>
      <c r="D17" s="65" t="s">
        <v>309</v>
      </c>
      <c r="E17" s="65" t="s">
        <v>309</v>
      </c>
      <c r="F17" s="65" t="s">
        <v>309</v>
      </c>
      <c r="G17" s="65" t="s">
        <v>309</v>
      </c>
      <c r="H17" s="66" t="s">
        <v>309</v>
      </c>
    </row>
    <row r="18" spans="1:8" ht="21.95" customHeight="1" x14ac:dyDescent="0.25">
      <c r="C18" s="67" t="s">
        <v>309</v>
      </c>
      <c r="D18" s="68" t="s">
        <v>309</v>
      </c>
      <c r="E18" s="68" t="s">
        <v>309</v>
      </c>
      <c r="F18" s="68" t="s">
        <v>309</v>
      </c>
      <c r="G18" s="68" t="s">
        <v>309</v>
      </c>
      <c r="H18" s="69" t="s">
        <v>309</v>
      </c>
    </row>
    <row r="19" spans="1:8" ht="21.95" customHeight="1" x14ac:dyDescent="0.25">
      <c r="C19" s="67" t="s">
        <v>309</v>
      </c>
      <c r="D19" s="68" t="s">
        <v>309</v>
      </c>
      <c r="E19" s="68" t="s">
        <v>309</v>
      </c>
      <c r="F19" s="68" t="s">
        <v>309</v>
      </c>
      <c r="G19" s="68" t="s">
        <v>309</v>
      </c>
      <c r="H19" s="69" t="s">
        <v>309</v>
      </c>
    </row>
    <row r="20" spans="1:8" ht="21.95" customHeight="1" x14ac:dyDescent="0.25">
      <c r="C20" s="70" t="s">
        <v>309</v>
      </c>
      <c r="D20" s="71" t="s">
        <v>309</v>
      </c>
      <c r="E20" s="71" t="s">
        <v>309</v>
      </c>
      <c r="F20" s="71" t="s">
        <v>309</v>
      </c>
      <c r="G20" s="71" t="s">
        <v>309</v>
      </c>
      <c r="H20" s="72" t="s">
        <v>309</v>
      </c>
    </row>
    <row r="21" spans="1:8" ht="21.95" customHeight="1" x14ac:dyDescent="0.25"/>
    <row r="22" spans="1:8" ht="21.95" customHeight="1" x14ac:dyDescent="0.25">
      <c r="A22" s="63" t="s">
        <v>310</v>
      </c>
      <c r="B22" s="63" t="s">
        <v>310</v>
      </c>
      <c r="C22" s="64" t="s">
        <v>311</v>
      </c>
      <c r="D22" s="65" t="s">
        <v>311</v>
      </c>
      <c r="E22" s="65" t="s">
        <v>311</v>
      </c>
      <c r="F22" s="65" t="s">
        <v>311</v>
      </c>
      <c r="G22" s="65" t="s">
        <v>311</v>
      </c>
      <c r="H22" s="66" t="s">
        <v>311</v>
      </c>
    </row>
    <row r="23" spans="1:8" ht="21.95" customHeight="1" x14ac:dyDescent="0.25">
      <c r="C23" s="67" t="s">
        <v>311</v>
      </c>
      <c r="D23" s="68" t="s">
        <v>311</v>
      </c>
      <c r="E23" s="68" t="s">
        <v>311</v>
      </c>
      <c r="F23" s="68" t="s">
        <v>311</v>
      </c>
      <c r="G23" s="68" t="s">
        <v>311</v>
      </c>
      <c r="H23" s="69" t="s">
        <v>311</v>
      </c>
    </row>
    <row r="24" spans="1:8" ht="21.95" customHeight="1" x14ac:dyDescent="0.25">
      <c r="C24" s="70" t="s">
        <v>311</v>
      </c>
      <c r="D24" s="71" t="s">
        <v>311</v>
      </c>
      <c r="E24" s="71" t="s">
        <v>311</v>
      </c>
      <c r="F24" s="71" t="s">
        <v>311</v>
      </c>
      <c r="G24" s="71" t="s">
        <v>311</v>
      </c>
      <c r="H24" s="72" t="s">
        <v>311</v>
      </c>
    </row>
    <row r="25" spans="1:8" ht="21.95" customHeight="1" x14ac:dyDescent="0.25"/>
    <row r="26" spans="1:8" ht="21.95" customHeight="1" x14ac:dyDescent="0.25">
      <c r="A26" s="73" t="s">
        <v>312</v>
      </c>
      <c r="B26" s="73"/>
      <c r="C26" s="73"/>
      <c r="D26" s="73"/>
      <c r="E26" s="73"/>
      <c r="F26" s="73"/>
      <c r="G26" s="73"/>
      <c r="H26" s="73"/>
    </row>
  </sheetData>
  <mergeCells count="12">
    <mergeCell ref="A26:H26"/>
    <mergeCell ref="A13:B13"/>
    <mergeCell ref="C13:H15"/>
    <mergeCell ref="A17:B17"/>
    <mergeCell ref="C17:H20"/>
    <mergeCell ref="A22:B22"/>
    <mergeCell ref="C22:H24"/>
    <mergeCell ref="A1:H2"/>
    <mergeCell ref="A4:H5"/>
    <mergeCell ref="A7:H7"/>
    <mergeCell ref="A9:B9"/>
    <mergeCell ref="C9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workbookViewId="0"/>
  </sheetViews>
  <sheetFormatPr defaultRowHeight="15" x14ac:dyDescent="0.25"/>
  <cols>
    <col min="1" max="1" width="40" customWidth="1"/>
    <col min="2" max="2" width="13.570312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 s="44">
        <v>411192</v>
      </c>
    </row>
    <row r="5" spans="1:2" x14ac:dyDescent="0.25">
      <c r="A5" t="s">
        <v>4</v>
      </c>
      <c r="B5" s="44">
        <v>616788</v>
      </c>
    </row>
    <row r="6" spans="1:2" x14ac:dyDescent="0.25">
      <c r="A6" t="s">
        <v>5</v>
      </c>
      <c r="B6" s="44">
        <f>SUM(B4:B5)</f>
        <v>1027980</v>
      </c>
    </row>
    <row r="7" spans="1:2" x14ac:dyDescent="0.25">
      <c r="A7" t="s">
        <v>6</v>
      </c>
      <c r="B7" s="44">
        <f>B6*0.1</f>
        <v>102798</v>
      </c>
    </row>
    <row r="8" spans="1:2" x14ac:dyDescent="0.25">
      <c r="A8" t="s">
        <v>7</v>
      </c>
      <c r="B8" s="44">
        <f>(B6+B7)*0.102</f>
        <v>115339.356</v>
      </c>
    </row>
    <row r="9" spans="1:2" x14ac:dyDescent="0.25">
      <c r="A9" t="s">
        <v>8</v>
      </c>
      <c r="B9" s="44">
        <f>(B8+B7+B6)*0.1</f>
        <v>124611.7356</v>
      </c>
    </row>
    <row r="10" spans="1:2" x14ac:dyDescent="0.25">
      <c r="A10" t="s">
        <v>9</v>
      </c>
      <c r="B10" s="44">
        <f>SUM(B6:B9)</f>
        <v>1370729.0915999999</v>
      </c>
    </row>
    <row r="11" spans="1:2" x14ac:dyDescent="0.25">
      <c r="B11" s="44"/>
    </row>
    <row r="12" spans="1:2" x14ac:dyDescent="0.25">
      <c r="A12" t="s">
        <v>10</v>
      </c>
    </row>
    <row r="13" spans="1:2" x14ac:dyDescent="0.25">
      <c r="A13" t="s">
        <v>11</v>
      </c>
      <c r="B13" s="19">
        <f>B10</f>
        <v>1370729.0915999999</v>
      </c>
    </row>
    <row r="14" spans="1:2" x14ac:dyDescent="0.25">
      <c r="A14" t="s">
        <v>12</v>
      </c>
      <c r="B14">
        <v>363398</v>
      </c>
    </row>
    <row r="15" spans="1:2" x14ac:dyDescent="0.25">
      <c r="A15" t="s">
        <v>13</v>
      </c>
      <c r="B15">
        <v>78695</v>
      </c>
    </row>
    <row r="16" spans="1:2" x14ac:dyDescent="0.25">
      <c r="A16" t="s">
        <v>14</v>
      </c>
      <c r="B16" s="19">
        <f>SUM(B13:B15)*0.053</f>
        <v>96079.570854799997</v>
      </c>
    </row>
    <row r="17" spans="1:2" x14ac:dyDescent="0.25">
      <c r="A17" t="s">
        <v>15</v>
      </c>
      <c r="B17" s="19">
        <f>SUM(B13:B16)*0.15</f>
        <v>286335.24936821999</v>
      </c>
    </row>
    <row r="18" spans="1:2" x14ac:dyDescent="0.25">
      <c r="A18" t="s">
        <v>16</v>
      </c>
    </row>
    <row r="19" spans="1:2" x14ac:dyDescent="0.25">
      <c r="A19" t="s">
        <v>17</v>
      </c>
      <c r="B19" s="19">
        <f>SUM(B13:B17)*0.15</f>
        <v>329285.53677345294</v>
      </c>
    </row>
    <row r="20" spans="1:2" x14ac:dyDescent="0.25">
      <c r="A20" t="s">
        <v>18</v>
      </c>
      <c r="B20" s="19">
        <f>SUM(B13:B17,B19)*0.051</f>
        <v>128750.64487842011</v>
      </c>
    </row>
    <row r="21" spans="1:2" x14ac:dyDescent="0.25">
      <c r="A21" t="s">
        <v>19</v>
      </c>
      <c r="B21" s="19">
        <f>SUM(B13:B17,B19,B20)*0.06</f>
        <v>159196.38560849355</v>
      </c>
    </row>
    <row r="22" spans="1:2" x14ac:dyDescent="0.25">
      <c r="A22" t="s">
        <v>20</v>
      </c>
      <c r="B22" s="19">
        <f>SUM(B13:B17,B19,B20,B21)*0.015</f>
        <v>42187.042186250794</v>
      </c>
    </row>
    <row r="23" spans="1:2" x14ac:dyDescent="0.25">
      <c r="A23" t="s">
        <v>21</v>
      </c>
      <c r="B23" s="19">
        <f>SUM(B13:B22)*0.04712</f>
        <v>134511.41528222532</v>
      </c>
    </row>
    <row r="24" spans="1:2" x14ac:dyDescent="0.25">
      <c r="A24" t="s">
        <v>9</v>
      </c>
      <c r="B24" s="19">
        <f>SUM(B13:B23)</f>
        <v>2989167.9365518624</v>
      </c>
    </row>
    <row r="28" spans="1:2" x14ac:dyDescent="0.25">
      <c r="A28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showGridLines="0" workbookViewId="0"/>
  </sheetViews>
  <sheetFormatPr defaultRowHeight="15" x14ac:dyDescent="0.25"/>
  <cols>
    <col min="1" max="1" width="17.42578125" style="27" customWidth="1"/>
    <col min="2" max="2" width="63.85546875" customWidth="1"/>
    <col min="3" max="3" width="17.7109375" style="27" customWidth="1"/>
    <col min="4" max="5" width="12.28515625" style="33" customWidth="1"/>
    <col min="6" max="6" width="11.28515625" style="33" customWidth="1"/>
    <col min="7" max="7" width="6" customWidth="1"/>
    <col min="8" max="8" width="33.5703125" style="3" customWidth="1"/>
    <col min="9" max="9" width="17" style="3" customWidth="1"/>
    <col min="10" max="10" width="13.140625" customWidth="1"/>
  </cols>
  <sheetData>
    <row r="1" spans="1:11" x14ac:dyDescent="0.25">
      <c r="D1" s="46" t="s">
        <v>23</v>
      </c>
      <c r="E1" s="46"/>
      <c r="F1" s="46"/>
    </row>
    <row r="2" spans="1:11" x14ac:dyDescent="0.25">
      <c r="B2" t="s">
        <v>24</v>
      </c>
      <c r="C2" s="36" t="s">
        <v>25</v>
      </c>
    </row>
    <row r="3" spans="1:11" x14ac:dyDescent="0.25">
      <c r="B3" t="s">
        <v>26</v>
      </c>
      <c r="C3" s="36" t="s">
        <v>27</v>
      </c>
    </row>
    <row r="4" spans="1:11" x14ac:dyDescent="0.25">
      <c r="B4" t="s">
        <v>28</v>
      </c>
      <c r="C4" s="36">
        <v>10</v>
      </c>
    </row>
    <row r="5" spans="1:11" x14ac:dyDescent="0.25">
      <c r="B5" t="s">
        <v>29</v>
      </c>
      <c r="C5" s="32">
        <f>SUMIF(A9:A41,"Yes",C9:C41)/COUNTIF(A9:A41,"Yes")*C4*1000000</f>
        <v>100676895.73459715</v>
      </c>
    </row>
    <row r="7" spans="1:11" x14ac:dyDescent="0.25">
      <c r="A7" s="48" t="s">
        <v>30</v>
      </c>
      <c r="B7" s="48"/>
      <c r="C7" s="47" t="s">
        <v>31</v>
      </c>
      <c r="D7" s="47"/>
      <c r="E7" s="47"/>
      <c r="F7" s="47"/>
      <c r="G7" s="43"/>
      <c r="H7" s="45" t="s">
        <v>32</v>
      </c>
      <c r="I7" s="45"/>
      <c r="J7" s="45"/>
    </row>
    <row r="8" spans="1:11" ht="60" x14ac:dyDescent="0.25">
      <c r="A8" s="37" t="s">
        <v>33</v>
      </c>
      <c r="B8" s="33" t="s">
        <v>34</v>
      </c>
      <c r="C8" s="27" t="s">
        <v>35</v>
      </c>
      <c r="D8" s="33" t="s">
        <v>36</v>
      </c>
      <c r="E8" s="33" t="s">
        <v>37</v>
      </c>
      <c r="F8" s="33" t="s">
        <v>38</v>
      </c>
      <c r="G8" s="3"/>
      <c r="H8" s="3" t="s">
        <v>39</v>
      </c>
      <c r="I8" s="3" t="s">
        <v>40</v>
      </c>
      <c r="J8" s="3" t="s">
        <v>41</v>
      </c>
      <c r="K8" s="3"/>
    </row>
    <row r="9" spans="1:11" ht="30" x14ac:dyDescent="0.25">
      <c r="A9" s="36" t="s">
        <v>42</v>
      </c>
      <c r="B9" s="27" t="str">
        <f>IF($C$2="Utility-Scale",'Utility Scale Estimates'!B2,IF($C$2="Commercial",'Commercial Scale &amp; UHManoa PV'!B8,""))</f>
        <v>Gateway House</v>
      </c>
      <c r="C9" s="32">
        <f>IF($C$2="Utility-Scale",'Utility Scale Estimates'!C2,IF($C$2="Commercial",'Commercial Scale &amp; UHManoa PV'!G8,""))</f>
        <v>3.5593793103448275</v>
      </c>
      <c r="D9" s="33">
        <f>IF($C$2="Utility-Scale",'Utility Scale Estimates'!E2,IF($C$2="Commercial",'Commercial Scale &amp; UHManoa PV'!C8/1000,""))</f>
        <v>2.9000000000000001E-2</v>
      </c>
      <c r="E9" s="33">
        <f>IF($C$2="Utility-Scale",'Utility Scale Estimates'!F2,IF($C$2="Commercial",'Commercial Scale &amp; UHManoa PV'!E8,""))</f>
        <v>2023</v>
      </c>
      <c r="F9" s="33" t="str">
        <f>IF($C$2="Utility-Scale",'Utility Scale Estimates'!G2,IF($C$2="Commercial",'Commercial Scale &amp; UHManoa PV'!D8,""))</f>
        <v>No</v>
      </c>
      <c r="G9" s="27"/>
      <c r="H9" s="3" t="str">
        <f>IF($C$2="Utility-Scale", 'Output Charts Breakdown'!A3,
IF($C$2="Commercial", 'Output Charts Breakdown'!E3,
))</f>
        <v>Engineering, Procurement, Construction /Developer Net Profit</v>
      </c>
      <c r="I9" s="40">
        <f>IF($C$2="Utility-Scale", 'Output Charts Breakdown'!B3,
IF($C$2="Commercial", 'Output Charts Breakdown'!F3,
))</f>
        <v>7467666.6216526162</v>
      </c>
      <c r="J9" s="9">
        <f>IF($C$2="Utility-Scale", 'Output Charts Breakdown'!C3,
IF($C$2="Commercial", 'Output Charts Breakdown'!G3,
))</f>
        <v>7.4174581637268214E-2</v>
      </c>
    </row>
    <row r="10" spans="1:11" x14ac:dyDescent="0.25">
      <c r="A10" s="36" t="s">
        <v>42</v>
      </c>
      <c r="B10" s="27" t="str">
        <f>IF($C$2="Utility-Scale",'Utility Scale Estimates'!B3,IF($C$2="Commercial",'Commercial Scale &amp; UHManoa PV'!B9,""))</f>
        <v>Frear Hall</v>
      </c>
      <c r="C10" s="32">
        <f>IF($C$2="Utility-Scale",'Utility Scale Estimates'!C3,IF($C$2="Commercial",'Commercial Scale &amp; UHManoa PV'!G9,""))</f>
        <v>3.5350000000000001</v>
      </c>
      <c r="D10" s="33">
        <f>IF($C$2="Utility-Scale",'Utility Scale Estimates'!E3,IF($C$2="Commercial",'Commercial Scale &amp; UHManoa PV'!C9/1000,""))</f>
        <v>4.7E-2</v>
      </c>
      <c r="E10" s="33">
        <f>IF($C$2="Utility-Scale",'Utility Scale Estimates'!F3,IF($C$2="Commercial",'Commercial Scale &amp; UHManoa PV'!E9,""))</f>
        <v>2023</v>
      </c>
      <c r="F10" s="33" t="str">
        <f>IF($C$2="Utility-Scale",'Utility Scale Estimates'!G3,IF($C$2="Commercial",'Commercial Scale &amp; UHManoa PV'!D9,""))</f>
        <v>No</v>
      </c>
      <c r="G10" s="27"/>
      <c r="H10" s="3" t="str">
        <f>IF($C$2="Utility-Scale", 'Output Charts Breakdown'!A4,
IF($C$2="Commercial", 'Output Charts Breakdown'!E4,
))</f>
        <v>Developer Overhead</v>
      </c>
      <c r="I10" s="40">
        <f>IF($C$2="Utility-Scale", 'Output Charts Breakdown'!B4,
IF($C$2="Commercial", 'Output Charts Breakdown'!F4,
))</f>
        <v>2641004.0491210469</v>
      </c>
      <c r="J10" s="9">
        <f>IF($C$2="Utility-Scale", 'Output Charts Breakdown'!C4,
IF($C$2="Commercial", 'Output Charts Breakdown'!G4,
))</f>
        <v>2.6232473993668026E-2</v>
      </c>
    </row>
    <row r="11" spans="1:11" x14ac:dyDescent="0.25">
      <c r="A11" s="36" t="s">
        <v>42</v>
      </c>
      <c r="B11" s="27" t="str">
        <f>IF($C$2="Utility-Scale",'Utility Scale Estimates'!B4,IF($C$2="Commercial",'Commercial Scale &amp; UHManoa PV'!B10,""))</f>
        <v>Gyms 1&amp;2</v>
      </c>
      <c r="C11" s="32">
        <f>IF($C$2="Utility-Scale",'Utility Scale Estimates'!C4,IF($C$2="Commercial",'Commercial Scale &amp; UHManoa PV'!G10,""))</f>
        <v>5.05</v>
      </c>
      <c r="D11" s="33">
        <f>IF($C$2="Utility-Scale",'Utility Scale Estimates'!E4,IF($C$2="Commercial",'Commercial Scale &amp; UHManoa PV'!C10/1000,""))</f>
        <v>0.32400000000000001</v>
      </c>
      <c r="E11" s="33">
        <f>IF($C$2="Utility-Scale",'Utility Scale Estimates'!F4,IF($C$2="Commercial",'Commercial Scale &amp; UHManoa PV'!E10,""))</f>
        <v>2023</v>
      </c>
      <c r="F11" s="33" t="str">
        <f>IF($C$2="Utility-Scale",'Utility Scale Estimates'!G4,IF($C$2="Commercial",'Commercial Scale &amp; UHManoa PV'!D10,""))</f>
        <v>No</v>
      </c>
      <c r="G11" s="27"/>
      <c r="H11" s="3" t="str">
        <f>IF($C$2="Utility-Scale", 'Output Charts Breakdown'!A5,
IF($C$2="Commercial", 'Output Charts Breakdown'!E5,
))</f>
        <v>Contingency</v>
      </c>
      <c r="I11" s="40">
        <f>IF($C$2="Utility-Scale", 'Output Charts Breakdown'!B5,
IF($C$2="Commercial", 'Output Charts Breakdown'!F5,
))</f>
        <v>2641004.0491210469</v>
      </c>
      <c r="J11" s="9">
        <f>IF($C$2="Utility-Scale", 'Output Charts Breakdown'!C5,
IF($C$2="Commercial", 'Output Charts Breakdown'!G5,
))</f>
        <v>2.6232473993668026E-2</v>
      </c>
    </row>
    <row r="12" spans="1:11" x14ac:dyDescent="0.25">
      <c r="A12" s="36" t="s">
        <v>42</v>
      </c>
      <c r="B12" s="27" t="str">
        <f>IF($C$2="Utility-Scale",'Utility Scale Estimates'!B5,IF($C$2="Commercial",'Commercial Scale &amp; UHManoa PV'!B11,""))</f>
        <v>John Burns Hall</v>
      </c>
      <c r="C12" s="32">
        <f>IF($C$2="Utility-Scale",'Utility Scale Estimates'!C5,IF($C$2="Commercial",'Commercial Scale &amp; UHManoa PV'!G11,""))</f>
        <v>5.05</v>
      </c>
      <c r="D12" s="33">
        <f>IF($C$2="Utility-Scale",'Utility Scale Estimates'!E5,IF($C$2="Commercial",'Commercial Scale &amp; UHManoa PV'!C11/1000,""))</f>
        <v>0.18</v>
      </c>
      <c r="E12" s="33">
        <f>IF($C$2="Utility-Scale",'Utility Scale Estimates'!F5,IF($C$2="Commercial",'Commercial Scale &amp; UHManoa PV'!E11,""))</f>
        <v>2011</v>
      </c>
      <c r="F12" s="33" t="str">
        <f>IF($C$2="Utility-Scale",'Utility Scale Estimates'!G5,IF($C$2="Commercial",'Commercial Scale &amp; UHManoa PV'!D11,""))</f>
        <v>No</v>
      </c>
      <c r="G12" s="27"/>
      <c r="H12" s="3" t="str">
        <f>IF($C$2="Utility-Scale", 'Output Charts Breakdown'!A6,
IF($C$2="Commercial", 'Output Charts Breakdown'!E6,
))</f>
        <v>Transmission Line</v>
      </c>
      <c r="I12" s="40">
        <f>IF($C$2="Utility-Scale", 'Output Charts Breakdown'!B6,
IF($C$2="Commercial", 'Output Charts Breakdown'!F6,
))</f>
        <v>0</v>
      </c>
      <c r="J12" s="9">
        <f>IF($C$2="Utility-Scale", 'Output Charts Breakdown'!C6,
IF($C$2="Commercial", 'Output Charts Breakdown'!G6,
))</f>
        <v>0</v>
      </c>
    </row>
    <row r="13" spans="1:11" x14ac:dyDescent="0.25">
      <c r="A13" s="36" t="s">
        <v>42</v>
      </c>
      <c r="B13" s="27" t="str">
        <f>IF($C$2="Utility-Scale",'Utility Scale Estimates'!B6,IF($C$2="Commercial",'Commercial Scale &amp; UHManoa PV'!B12,""))</f>
        <v>Gartley Hall</v>
      </c>
      <c r="C13" s="32">
        <f>IF($C$2="Utility-Scale",'Utility Scale Estimates'!C6,IF($C$2="Commercial",'Commercial Scale &amp; UHManoa PV'!G12,""))</f>
        <v>5.05</v>
      </c>
      <c r="D13" s="33">
        <f>IF($C$2="Utility-Scale",'Utility Scale Estimates'!E6,IF($C$2="Commercial",'Commercial Scale &amp; UHManoa PV'!C12/1000,""))</f>
        <v>4.4999999999999998E-2</v>
      </c>
      <c r="E13" s="33">
        <f>IF($C$2="Utility-Scale",'Utility Scale Estimates'!F6,IF($C$2="Commercial",'Commercial Scale &amp; UHManoa PV'!E12,""))</f>
        <v>2014</v>
      </c>
      <c r="F13" s="33" t="str">
        <f>IF($C$2="Utility-Scale",'Utility Scale Estimates'!G6,IF($C$2="Commercial",'Commercial Scale &amp; UHManoa PV'!D12,""))</f>
        <v>No</v>
      </c>
      <c r="G13" s="27"/>
      <c r="H13" s="3" t="str">
        <f>IF($C$2="Utility-Scale", 'Output Charts Breakdown'!A7,
IF($C$2="Commercial", 'Output Charts Breakdown'!E7,
))</f>
        <v>Interconnection Fee</v>
      </c>
      <c r="I13" s="40">
        <f>IF($C$2="Utility-Scale", 'Output Charts Breakdown'!B7,
IF($C$2="Commercial", 'Output Charts Breakdown'!F7,
))</f>
        <v>1274967.471989471</v>
      </c>
      <c r="J13" s="9">
        <f>IF($C$2="Utility-Scale", 'Output Charts Breakdown'!C7,
IF($C$2="Commercial", 'Output Charts Breakdown'!G7,
))</f>
        <v>1.2663952962460426E-2</v>
      </c>
    </row>
    <row r="14" spans="1:11" x14ac:dyDescent="0.25">
      <c r="A14" s="36" t="s">
        <v>42</v>
      </c>
      <c r="B14" s="27" t="str">
        <f>IF($C$2="Utility-Scale",'Utility Scale Estimates'!B7,IF($C$2="Commercial",'Commercial Scale &amp; UHManoa PV'!B13,""))</f>
        <v>Holmes Hall</v>
      </c>
      <c r="C14" s="32">
        <f>IF($C$2="Utility-Scale",'Utility Scale Estimates'!C7,IF($C$2="Commercial",'Commercial Scale &amp; UHManoa PV'!G13,""))</f>
        <v>5.0500591715976331</v>
      </c>
      <c r="D14" s="33">
        <f>IF($C$2="Utility-Scale",'Utility Scale Estimates'!E7,IF($C$2="Commercial",'Commercial Scale &amp; UHManoa PV'!C13/1000,""))</f>
        <v>8.4499999999999992E-3</v>
      </c>
      <c r="E14" s="33">
        <f>IF($C$2="Utility-Scale",'Utility Scale Estimates'!F7,IF($C$2="Commercial",'Commercial Scale &amp; UHManoa PV'!E13,""))</f>
        <v>2013</v>
      </c>
      <c r="F14" s="33" t="str">
        <f>IF($C$2="Utility-Scale",'Utility Scale Estimates'!G7,IF($C$2="Commercial",'Commercial Scale &amp; UHManoa PV'!D13,""))</f>
        <v>No</v>
      </c>
      <c r="G14" s="27"/>
      <c r="H14" s="3" t="str">
        <f>IF($C$2="Utility-Scale", 'Output Charts Breakdown'!A8,
IF($C$2="Commercial", 'Output Charts Breakdown'!E8,
))</f>
        <v>Permitting Fee</v>
      </c>
      <c r="I14" s="40">
        <f>IF($C$2="Utility-Scale", 'Output Charts Breakdown'!B8,
IF($C$2="Commercial", 'Output Charts Breakdown'!F8,
))</f>
        <v>318741.86799736775</v>
      </c>
      <c r="J14" s="9">
        <f>IF($C$2="Utility-Scale", 'Output Charts Breakdown'!C8,
IF($C$2="Commercial", 'Output Charts Breakdown'!G8,
))</f>
        <v>3.1659882406151066E-3</v>
      </c>
    </row>
    <row r="15" spans="1:11" x14ac:dyDescent="0.25">
      <c r="A15" s="36" t="s">
        <v>42</v>
      </c>
      <c r="B15" s="27" t="str">
        <f>IF($C$2="Utility-Scale",'Utility Scale Estimates'!B8,IF($C$2="Commercial",'Commercial Scale &amp; UHManoa PV'!B14,""))</f>
        <v>Sinclair Library</v>
      </c>
      <c r="C15" s="32">
        <f>IF($C$2="Utility-Scale",'Utility Scale Estimates'!C8,IF($C$2="Commercial",'Commercial Scale &amp; UHManoa PV'!G14,""))</f>
        <v>5.2155737704918037</v>
      </c>
      <c r="D15" s="33">
        <f>IF($C$2="Utility-Scale",'Utility Scale Estimates'!E8,IF($C$2="Commercial",'Commercial Scale &amp; UHManoa PV'!C14/1000,""))</f>
        <v>3.0499999999999999E-2</v>
      </c>
      <c r="E15" s="33">
        <f>IF($C$2="Utility-Scale",'Utility Scale Estimates'!F8,IF($C$2="Commercial",'Commercial Scale &amp; UHManoa PV'!E14,""))</f>
        <v>2012</v>
      </c>
      <c r="F15" s="33" t="str">
        <f>IF($C$2="Utility-Scale",'Utility Scale Estimates'!G8,IF($C$2="Commercial",'Commercial Scale &amp; UHManoa PV'!D14,""))</f>
        <v>No</v>
      </c>
      <c r="G15" s="27"/>
      <c r="H15" s="3" t="str">
        <f>IF($C$2="Utility-Scale", 'Output Charts Breakdown'!A9,
IF($C$2="Commercial", 'Output Charts Breakdown'!E9,
))</f>
        <v>Land Acquisition</v>
      </c>
      <c r="I15" s="40">
        <f>IF($C$2="Utility-Scale", 'Output Charts Breakdown'!B9,
IF($C$2="Commercial", 'Output Charts Breakdown'!F9,
))</f>
        <v>0</v>
      </c>
      <c r="J15" s="9">
        <f>IF($C$2="Utility-Scale", 'Output Charts Breakdown'!C9,
IF($C$2="Commercial", 'Output Charts Breakdown'!G9,
))</f>
        <v>0</v>
      </c>
    </row>
    <row r="16" spans="1:11" x14ac:dyDescent="0.25">
      <c r="A16" s="36" t="s">
        <v>42</v>
      </c>
      <c r="B16" s="27" t="str">
        <f>IF($C$2="Utility-Scale",'Utility Scale Estimates'!B9,IF($C$2="Commercial",'Commercial Scale &amp; UHManoa PV'!B15,""))</f>
        <v>Warrior Recreation</v>
      </c>
      <c r="C16" s="32">
        <f>IF($C$2="Utility-Scale",'Utility Scale Estimates'!C9,IF($C$2="Commercial",'Commercial Scale &amp; UHManoa PV'!G15,""))</f>
        <v>5.05</v>
      </c>
      <c r="D16" s="33">
        <f>IF($C$2="Utility-Scale",'Utility Scale Estimates'!E9,IF($C$2="Commercial",'Commercial Scale &amp; UHManoa PV'!C15/1000,""))</f>
        <v>3.3000000000000002E-2</v>
      </c>
      <c r="E16" s="33">
        <f>IF($C$2="Utility-Scale",'Utility Scale Estimates'!F9,IF($C$2="Commercial",'Commercial Scale &amp; UHManoa PV'!E15,""))</f>
        <v>2013</v>
      </c>
      <c r="F16" s="33" t="str">
        <f>IF($C$2="Utility-Scale",'Utility Scale Estimates'!G9,IF($C$2="Commercial",'Commercial Scale &amp; UHManoa PV'!D15,""))</f>
        <v>No</v>
      </c>
      <c r="G16" s="27"/>
      <c r="H16" s="3" t="str">
        <f>IF($C$2="Utility-Scale", 'Output Charts Breakdown'!A10,
IF($C$2="Commercial", 'Output Charts Breakdown'!E10,
))</f>
        <v>Sale Tax</v>
      </c>
      <c r="I16" s="40">
        <f>IF($C$2="Utility-Scale", 'Output Charts Breakdown'!B10,
IF($C$2="Commercial", 'Output Charts Breakdown'!F10,
))</f>
        <v>4280247.9416789385</v>
      </c>
      <c r="J16" s="9">
        <f>IF($C$2="Utility-Scale", 'Output Charts Breakdown'!C10,
IF($C$2="Commercial", 'Output Charts Breakdown'!G10,
))</f>
        <v>4.2514699231117142E-2</v>
      </c>
    </row>
    <row r="17" spans="1:10" x14ac:dyDescent="0.25">
      <c r="A17" s="36" t="s">
        <v>42</v>
      </c>
      <c r="B17" s="27" t="str">
        <f>IF($C$2="Utility-Scale",'Utility Scale Estimates'!B10,IF($C$2="Commercial",'Commercial Scale &amp; UHManoa PV'!B16,""))</f>
        <v>FROG Buildings</v>
      </c>
      <c r="C17" s="32">
        <f>IF($C$2="Utility-Scale",'Utility Scale Estimates'!C10,IF($C$2="Commercial",'Commercial Scale &amp; UHManoa PV'!G16,""))</f>
        <v>5.05</v>
      </c>
      <c r="D17" s="33">
        <f>IF($C$2="Utility-Scale",'Utility Scale Estimates'!E10,IF($C$2="Commercial",'Commercial Scale &amp; UHManoa PV'!C16/1000,""))</f>
        <v>1.6120000000000002E-2</v>
      </c>
      <c r="E17" s="33">
        <f>IF($C$2="Utility-Scale",'Utility Scale Estimates'!F10,IF($C$2="Commercial",'Commercial Scale &amp; UHManoa PV'!E16,""))</f>
        <v>2018</v>
      </c>
      <c r="F17" s="33" t="str">
        <f>IF($C$2="Utility-Scale",'Utility Scale Estimates'!G10,IF($C$2="Commercial",'Commercial Scale &amp; UHManoa PV'!D16,""))</f>
        <v>No</v>
      </c>
      <c r="G17" s="27"/>
      <c r="H17" s="3" t="str">
        <f>IF($C$2="Utility-Scale", 'Output Charts Breakdown'!A11,
IF($C$2="Commercial", 'Output Charts Breakdown'!E11,
))</f>
        <v>EPC Overhead</v>
      </c>
      <c r="I17" s="40">
        <f>IF($C$2="Utility-Scale", 'Output Charts Breakdown'!B11,
IF($C$2="Commercial", 'Output Charts Breakdown'!F11,
))</f>
        <v>8105150.357647351</v>
      </c>
      <c r="J17" s="9">
        <f>IF($C$2="Utility-Scale", 'Output Charts Breakdown'!C11,
IF($C$2="Commercial", 'Output Charts Breakdown'!G11,
))</f>
        <v>8.0506558118498425E-2</v>
      </c>
    </row>
    <row r="18" spans="1:10" x14ac:dyDescent="0.25">
      <c r="A18" s="36" t="s">
        <v>42</v>
      </c>
      <c r="B18" s="27" t="str">
        <f>IF($C$2="Utility-Scale",'Utility Scale Estimates'!B11,IF($C$2="Commercial",'Commercial Scale &amp; UHManoa PV'!B17,""))</f>
        <v>PBRC</v>
      </c>
      <c r="C18" s="32">
        <f>IF($C$2="Utility-Scale",'Utility Scale Estimates'!C11,IF($C$2="Commercial",'Commercial Scale &amp; UHManoa PV'!G17,""))</f>
        <v>5.0500138159712629</v>
      </c>
      <c r="D18" s="33">
        <f>IF($C$2="Utility-Scale",'Utility Scale Estimates'!E11,IF($C$2="Commercial",'Commercial Scale &amp; UHManoa PV'!C17/1000,""))</f>
        <v>3.619E-2</v>
      </c>
      <c r="E18" s="33">
        <f>IF($C$2="Utility-Scale",'Utility Scale Estimates'!F11,IF($C$2="Commercial",'Commercial Scale &amp; UHManoa PV'!E17,""))</f>
        <v>2012</v>
      </c>
      <c r="F18" s="33" t="str">
        <f>IF($C$2="Utility-Scale",'Utility Scale Estimates'!G11,IF($C$2="Commercial",'Commercial Scale &amp; UHManoa PV'!D17,""))</f>
        <v>No</v>
      </c>
      <c r="G18" s="27"/>
      <c r="H18" s="3" t="str">
        <f>IF($C$2="Utility-Scale", 'Output Charts Breakdown'!A12,
IF($C$2="Commercial", 'Output Charts Breakdown'!E12,
))</f>
        <v>Install labor &amp; Equipment</v>
      </c>
      <c r="I18" s="40">
        <f>IF($C$2="Utility-Scale", 'Output Charts Breakdown'!B12,
IF($C$2="Commercial", 'Output Charts Breakdown'!F12,
))</f>
        <v>14343384.059881549</v>
      </c>
      <c r="J18" s="9">
        <f>IF($C$2="Utility-Scale", 'Output Charts Breakdown'!C12,
IF($C$2="Commercial", 'Output Charts Breakdown'!G12,
))</f>
        <v>0.1424694708276798</v>
      </c>
    </row>
    <row r="19" spans="1:10" x14ac:dyDescent="0.25">
      <c r="A19" s="36" t="s">
        <v>42</v>
      </c>
      <c r="B19" s="27" t="str">
        <f>IF($C$2="Utility-Scale",'Utility Scale Estimates'!B12,IF($C$2="Commercial",'Commercial Scale &amp; UHManoa PV'!B18,""))</f>
        <v>Dance Building</v>
      </c>
      <c r="C19" s="32">
        <f>IF($C$2="Utility-Scale",'Utility Scale Estimates'!C12,IF($C$2="Commercial",'Commercial Scale &amp; UHManoa PV'!G18,""))</f>
        <v>5.059181818181818</v>
      </c>
      <c r="D19" s="33">
        <f>IF($C$2="Utility-Scale",'Utility Scale Estimates'!E12,IF($C$2="Commercial",'Commercial Scale &amp; UHManoa PV'!C18/1000,""))</f>
        <v>1.0999999999999999E-2</v>
      </c>
      <c r="E19" s="33">
        <f>IF($C$2="Utility-Scale",'Utility Scale Estimates'!F12,IF($C$2="Commercial",'Commercial Scale &amp; UHManoa PV'!E18,""))</f>
        <v>2023</v>
      </c>
      <c r="F19" s="33" t="str">
        <f>IF($C$2="Utility-Scale",'Utility Scale Estimates'!G12,IF($C$2="Commercial",'Commercial Scale &amp; UHManoa PV'!D18,""))</f>
        <v>No</v>
      </c>
      <c r="G19" s="27"/>
      <c r="H19" s="3" t="str">
        <f>IF($C$2="Utility-Scale", 'Output Charts Breakdown'!A13,
IF($C$2="Commercial", 'Output Charts Breakdown'!E13,
))</f>
        <v>Electrical BOS</v>
      </c>
      <c r="I19" s="40">
        <f>IF($C$2="Utility-Scale", 'Output Charts Breakdown'!B13,
IF($C$2="Commercial", 'Output Charts Breakdown'!F13,
))</f>
        <v>10063136.11820261</v>
      </c>
      <c r="J19" s="9">
        <f>IF($C$2="Utility-Scale", 'Output Charts Breakdown'!C13,
IF($C$2="Commercial", 'Output Charts Breakdown'!G13,
))</f>
        <v>9.9954771596562644E-2</v>
      </c>
    </row>
    <row r="20" spans="1:10" x14ac:dyDescent="0.25">
      <c r="A20" s="36" t="s">
        <v>42</v>
      </c>
      <c r="B20" s="27" t="str">
        <f>IF($C$2="Utility-Scale",'Utility Scale Estimates'!B13,IF($C$2="Commercial",'Commercial Scale &amp; UHManoa PV'!B19,""))</f>
        <v>Cancer Center (Freezer Facility)</v>
      </c>
      <c r="C20" s="32">
        <f>IF($C$2="Utility-Scale",'Utility Scale Estimates'!C13,IF($C$2="Commercial",'Commercial Scale &amp; UHManoa PV'!G19,""))</f>
        <v>4.9489999999999998</v>
      </c>
      <c r="D20" s="33">
        <f>IF($C$2="Utility-Scale",'Utility Scale Estimates'!E13,IF($C$2="Commercial",'Commercial Scale &amp; UHManoa PV'!C19/1000,""))</f>
        <v>1.4999999999999999E-2</v>
      </c>
      <c r="E20" s="33">
        <f>IF($C$2="Utility-Scale",'Utility Scale Estimates'!F13,IF($C$2="Commercial",'Commercial Scale &amp; UHManoa PV'!E19,""))</f>
        <v>2023</v>
      </c>
      <c r="F20" s="33" t="str">
        <f>IF($C$2="Utility-Scale",'Utility Scale Estimates'!G13,IF($C$2="Commercial",'Commercial Scale &amp; UHManoa PV'!D19,""))</f>
        <v>No</v>
      </c>
      <c r="G20" s="27"/>
      <c r="H20" s="3" t="str">
        <f>IF($C$2="Utility-Scale", 'Output Charts Breakdown'!A14,
IF($C$2="Commercial", 'Output Charts Breakdown'!E14,
))</f>
        <v>Structural BOS</v>
      </c>
      <c r="I20" s="40">
        <f>IF($C$2="Utility-Scale", 'Output Charts Breakdown'!B14,
IF($C$2="Commercial", 'Output Charts Breakdown'!F14,
))</f>
        <v>8423892.2256447189</v>
      </c>
      <c r="J20" s="9">
        <f>IF($C$2="Utility-Scale", 'Output Charts Breakdown'!C14,
IF($C$2="Commercial", 'Output Charts Breakdown'!G14,
))</f>
        <v>8.3672546359113531E-2</v>
      </c>
    </row>
    <row r="21" spans="1:10" x14ac:dyDescent="0.25">
      <c r="A21" s="36" t="s">
        <v>43</v>
      </c>
      <c r="B21" s="27" t="str">
        <f>IF($C$2="Utility-Scale",'Utility Scale Estimates'!B14,IF($C$2="Commercial",'Commercial Scale &amp; UHManoa PV'!B20,""))</f>
        <v>Parking Permit Zone 1 [Raised]</v>
      </c>
      <c r="C21" s="32">
        <f>IF($C$2="Utility-Scale",'Utility Scale Estimates'!C14,IF($C$2="Commercial",'Commercial Scale &amp; UHManoa PV'!G20,""))</f>
        <v>8.08</v>
      </c>
      <c r="D21" s="33">
        <f>IF($C$2="Utility-Scale",'Utility Scale Estimates'!E14,IF($C$2="Commercial",'Commercial Scale &amp; UHManoa PV'!C20/1000,""))</f>
        <v>0.33500000000000002</v>
      </c>
      <c r="E21" s="33">
        <f>IF($C$2="Utility-Scale",'Utility Scale Estimates'!F14,IF($C$2="Commercial",'Commercial Scale &amp; UHManoa PV'!E20,""))</f>
        <v>2023</v>
      </c>
      <c r="F21" s="33" t="str">
        <f>IF($C$2="Utility-Scale",'Utility Scale Estimates'!G14,IF($C$2="Commercial",'Commercial Scale &amp; UHManoa PV'!D20,""))</f>
        <v>No</v>
      </c>
      <c r="G21" s="27"/>
      <c r="H21" s="3" t="str">
        <f>IF($C$2="Utility-Scale", 'Output Charts Breakdown'!A15,
IF($C$2="Commercial", 'Output Charts Breakdown'!E15,
))</f>
        <v>Bidirectional Inverter</v>
      </c>
      <c r="I21" s="40">
        <f>IF($C$2="Utility-Scale", 'Output Charts Breakdown'!B15,
IF($C$2="Commercial", 'Output Charts Breakdown'!F15,
))</f>
        <v>1639243.8925578911</v>
      </c>
      <c r="J21" s="9">
        <f>IF($C$2="Utility-Scale", 'Output Charts Breakdown'!C15,
IF($C$2="Commercial", 'Output Charts Breakdown'!G15,
))</f>
        <v>1.6282225237449117E-2</v>
      </c>
    </row>
    <row r="22" spans="1:10" x14ac:dyDescent="0.25">
      <c r="A22" s="36" t="s">
        <v>43</v>
      </c>
      <c r="B22" s="27" t="str">
        <f>IF($C$2="Utility-Scale",'Utility Scale Estimates'!B15,IF($C$2="Commercial",'Commercial Scale &amp; UHManoa PV'!B21,""))</f>
        <v>Parking Permit Zone 2 [Raised]</v>
      </c>
      <c r="C22" s="32">
        <f>IF($C$2="Utility-Scale",'Utility Scale Estimates'!C15,IF($C$2="Commercial",'Commercial Scale &amp; UHManoa PV'!G21,""))</f>
        <v>8.08</v>
      </c>
      <c r="D22" s="33">
        <f>IF($C$2="Utility-Scale",'Utility Scale Estimates'!E15,IF($C$2="Commercial",'Commercial Scale &amp; UHManoa PV'!C21/1000,""))</f>
        <v>0.19400000000000001</v>
      </c>
      <c r="E22" s="33">
        <f>IF($C$2="Utility-Scale",'Utility Scale Estimates'!F15,IF($C$2="Commercial",'Commercial Scale &amp; UHManoa PV'!E21,""))</f>
        <v>2023</v>
      </c>
      <c r="F22" s="33" t="str">
        <f>IF($C$2="Utility-Scale",'Utility Scale Estimates'!G15,IF($C$2="Commercial",'Commercial Scale &amp; UHManoa PV'!D21,""))</f>
        <v>No</v>
      </c>
      <c r="G22" s="27"/>
      <c r="H22" s="3" t="str">
        <f>IF($C$2="Utility-Scale", 'Output Charts Breakdown'!A16,
IF($C$2="Commercial", 'Output Charts Breakdown'!E16,
))</f>
        <v>Solar Inverter</v>
      </c>
      <c r="I22" s="40">
        <f>IF($C$2="Utility-Scale", 'Output Charts Breakdown'!B16,
IF($C$2="Commercial", 'Output Charts Breakdown'!F16,
))</f>
        <v>0</v>
      </c>
      <c r="J22" s="9">
        <f>IF($C$2="Utility-Scale", 'Output Charts Breakdown'!C16,
IF($C$2="Commercial", 'Output Charts Breakdown'!G16,
))</f>
        <v>0</v>
      </c>
    </row>
    <row r="23" spans="1:10" x14ac:dyDescent="0.25">
      <c r="A23" s="36" t="s">
        <v>42</v>
      </c>
      <c r="B23" s="27" t="str">
        <f>IF($C$2="Utility-Scale",'Utility Scale Estimates'!B16,IF($C$2="Commercial",'Commercial Scale &amp; UHManoa PV'!B22,""))</f>
        <v>Law School Clinical Building</v>
      </c>
      <c r="C23" s="32">
        <f>IF($C$2="Utility-Scale",'Utility Scale Estimates'!C16,IF($C$2="Commercial",'Commercial Scale &amp; UHManoa PV'!G22,""))</f>
        <v>5.05</v>
      </c>
      <c r="D23" s="33">
        <f>IF($C$2="Utility-Scale",'Utility Scale Estimates'!E16,IF($C$2="Commercial",'Commercial Scale &amp; UHManoa PV'!C22/1000,""))</f>
        <v>1.6500000000000001E-2</v>
      </c>
      <c r="E23" s="33">
        <f>IF($C$2="Utility-Scale",'Utility Scale Estimates'!F16,IF($C$2="Commercial",'Commercial Scale &amp; UHManoa PV'!E22,""))</f>
        <v>2019</v>
      </c>
      <c r="F23" s="33" t="str">
        <f>IF($C$2="Utility-Scale",'Utility Scale Estimates'!G16,IF($C$2="Commercial",'Commercial Scale &amp; UHManoa PV'!D22,""))</f>
        <v>No</v>
      </c>
      <c r="G23" s="27"/>
      <c r="H23" s="3" t="str">
        <f>IF($C$2="Utility-Scale", 'Output Charts Breakdown'!A17,
IF($C$2="Commercial", 'Output Charts Breakdown'!E17,
))</f>
        <v>Lithium Ion Battery</v>
      </c>
      <c r="I23" s="40">
        <f>IF($C$2="Utility-Scale", 'Output Charts Breakdown'!B17,
IF($C$2="Commercial", 'Output Charts Breakdown'!F17,
))</f>
        <v>20991428.735255219</v>
      </c>
      <c r="J23" s="9">
        <f>IF($C$2="Utility-Scale", 'Output Charts Breakdown'!C17,
IF($C$2="Commercial", 'Output Charts Breakdown'!G17,
))</f>
        <v>0.20850293984622345</v>
      </c>
    </row>
    <row r="24" spans="1:10" x14ac:dyDescent="0.25">
      <c r="A24" s="36" t="s">
        <v>42</v>
      </c>
      <c r="B24" s="27" t="str">
        <f>IF($C$2="Utility-Scale",'Utility Scale Estimates'!B17,IF($C$2="Commercial",'Commercial Scale &amp; UHManoa PV'!B23,""))</f>
        <v>Life Sciences Building</v>
      </c>
      <c r="C24" s="32">
        <f>IF($C$2="Utility-Scale",'Utility Scale Estimates'!C17,IF($C$2="Commercial",'Commercial Scale &amp; UHManoa PV'!G23,""))</f>
        <v>5.05</v>
      </c>
      <c r="D24" s="33">
        <f>IF($C$2="Utility-Scale",'Utility Scale Estimates'!E17,IF($C$2="Commercial",'Commercial Scale &amp; UHManoa PV'!C23/1000,""))</f>
        <v>8.4500000000000006E-2</v>
      </c>
      <c r="E24" s="33">
        <f>IF($C$2="Utility-Scale",'Utility Scale Estimates'!F17,IF($C$2="Commercial",'Commercial Scale &amp; UHManoa PV'!E23,""))</f>
        <v>2020</v>
      </c>
      <c r="F24" s="33" t="str">
        <f>IF($C$2="Utility-Scale",'Utility Scale Estimates'!G17,IF($C$2="Commercial",'Commercial Scale &amp; UHManoa PV'!D23,""))</f>
        <v>No</v>
      </c>
      <c r="G24" s="27"/>
      <c r="H24" s="3" t="str">
        <f>IF($C$2="Utility-Scale", 'Output Charts Breakdown'!A18,
IF($C$2="Commercial", 'Output Charts Breakdown'!E18,
))</f>
        <v>PV Module</v>
      </c>
      <c r="I24" s="40">
        <f>IF($C$2="Utility-Scale", 'Output Charts Breakdown'!B18,
IF($C$2="Commercial", 'Output Charts Breakdown'!F18,
))</f>
        <v>18487028.343847331</v>
      </c>
      <c r="J24" s="9">
        <f>IF($C$2="Utility-Scale", 'Output Charts Breakdown'!C18,
IF($C$2="Commercial", 'Output Charts Breakdown'!G18,
))</f>
        <v>0.18362731795567619</v>
      </c>
    </row>
    <row r="25" spans="1:10" x14ac:dyDescent="0.25">
      <c r="A25" s="36" t="s">
        <v>42</v>
      </c>
      <c r="B25" s="27" t="str">
        <f>IF($C$2="Utility-Scale",'Utility Scale Estimates'!B18,IF($C$2="Commercial",'Commercial Scale &amp; UHManoa PV'!B24,""))</f>
        <v>Johnson Hall A</v>
      </c>
      <c r="C25" s="32">
        <f>IF($C$2="Utility-Scale",'Utility Scale Estimates'!C18,IF($C$2="Commercial",'Commercial Scale &amp; UHManoa PV'!G24,""))</f>
        <v>8.6336037735849054</v>
      </c>
      <c r="D25" s="33">
        <f>IF($C$2="Utility-Scale",'Utility Scale Estimates'!E18,IF($C$2="Commercial",'Commercial Scale &amp; UHManoa PV'!C24/1000,""))</f>
        <v>5.2999999999999999E-2</v>
      </c>
      <c r="E25" s="33">
        <f>IF($C$2="Utility-Scale",'Utility Scale Estimates'!F18,IF($C$2="Commercial",'Commercial Scale &amp; UHManoa PV'!E24,""))</f>
        <v>2023</v>
      </c>
      <c r="F25" s="33" t="str">
        <f>IF($C$2="Utility-Scale",'Utility Scale Estimates'!G18,IF($C$2="Commercial",'Commercial Scale &amp; UHManoa PV'!D24,""))</f>
        <v>No</v>
      </c>
      <c r="G25" s="27"/>
      <c r="H25" s="3" t="str">
        <f>IF($C$2="Utility-Scale", 'Output Charts Breakdown'!A19,
IF($C$2="Commercial", 'Output Charts Breakdown'!E19,
))</f>
        <v>Total</v>
      </c>
      <c r="I25" s="40">
        <f>IF($C$2="Utility-Scale", 'Output Charts Breakdown'!B19,
IF($C$2="Commercial", 'Output Charts Breakdown'!F19,
))</f>
        <v>100676895.73459715</v>
      </c>
      <c r="J25" s="9">
        <f>IF($C$2="Utility-Scale", 'Output Charts Breakdown'!C19,
IF($C$2="Commercial", 'Output Charts Breakdown'!G19,
))</f>
        <v>1</v>
      </c>
    </row>
    <row r="26" spans="1:10" x14ac:dyDescent="0.25">
      <c r="A26" s="36" t="s">
        <v>42</v>
      </c>
      <c r="B26" s="27" t="str">
        <f>IF($C$2="Utility-Scale",'Utility Scale Estimates'!B19,IF($C$2="Commercial",'Commercial Scale &amp; UHManoa PV'!B25,""))</f>
        <v>Johnson Hall B</v>
      </c>
      <c r="C26" s="32">
        <f>IF($C$2="Utility-Scale",'Utility Scale Estimates'!C19,IF($C$2="Commercial",'Commercial Scale &amp; UHManoa PV'!G25,""))</f>
        <v>8.5850000000000009</v>
      </c>
      <c r="D26" s="33">
        <f>IF($C$2="Utility-Scale",'Utility Scale Estimates'!E19,IF($C$2="Commercial",'Commercial Scale &amp; UHManoa PV'!C25/1000,""))</f>
        <v>5.8999999999999997E-2</v>
      </c>
      <c r="E26" s="33">
        <f>IF($C$2="Utility-Scale",'Utility Scale Estimates'!F19,IF($C$2="Commercial",'Commercial Scale &amp; UHManoa PV'!E25,""))</f>
        <v>2023</v>
      </c>
      <c r="F26" s="33" t="str">
        <f>IF($C$2="Utility-Scale",'Utility Scale Estimates'!G19,IF($C$2="Commercial",'Commercial Scale &amp; UHManoa PV'!D25,""))</f>
        <v>No</v>
      </c>
      <c r="G26" s="27"/>
      <c r="J26" s="9"/>
    </row>
    <row r="27" spans="1:10" x14ac:dyDescent="0.25">
      <c r="A27" s="36" t="s">
        <v>42</v>
      </c>
      <c r="B27" s="27" t="str">
        <f>IF($C$2="Utility-Scale",'Utility Scale Estimates'!B20,IF($C$2="Commercial",'Commercial Scale &amp; UHManoa PV'!B26,""))</f>
        <v>Architecrutre Building</v>
      </c>
      <c r="C27" s="32">
        <f>IF($C$2="Utility-Scale",'Utility Scale Estimates'!C20,IF($C$2="Commercial",'Commercial Scale &amp; UHManoa PV'!G26,""))</f>
        <v>8.5850000000000009</v>
      </c>
      <c r="D27" s="33">
        <f>IF($C$2="Utility-Scale",'Utility Scale Estimates'!E20,IF($C$2="Commercial",'Commercial Scale &amp; UHManoa PV'!C26/1000,""))</f>
        <v>0.22600000000000001</v>
      </c>
      <c r="E27" s="33">
        <f>IF($C$2="Utility-Scale",'Utility Scale Estimates'!F20,IF($C$2="Commercial",'Commercial Scale &amp; UHManoa PV'!E26,""))</f>
        <v>2023</v>
      </c>
      <c r="F27" s="33" t="str">
        <f>IF($C$2="Utility-Scale",'Utility Scale Estimates'!G20,IF($C$2="Commercial",'Commercial Scale &amp; UHManoa PV'!D26,""))</f>
        <v>No</v>
      </c>
      <c r="G27" s="27"/>
    </row>
    <row r="28" spans="1:10" x14ac:dyDescent="0.25">
      <c r="A28" s="36" t="s">
        <v>42</v>
      </c>
      <c r="B28" s="27" t="str">
        <f>IF($C$2="Utility-Scale",'Utility Scale Estimates'!B21,IF($C$2="Commercial",'Commercial Scale &amp; UHManoa PV'!B27,""))</f>
        <v xml:space="preserve">Inouye Center </v>
      </c>
      <c r="C28" s="32">
        <f>IF($C$2="Utility-Scale",'Utility Scale Estimates'!C21,IF($C$2="Commercial",'Commercial Scale &amp; UHManoa PV'!G27,""))</f>
        <v>5.05</v>
      </c>
      <c r="D28" s="33">
        <f>IF($C$2="Utility-Scale",'Utility Scale Estimates'!E21,IF($C$2="Commercial",'Commercial Scale &amp; UHManoa PV'!C27/1000,""))</f>
        <v>7.0000000000000007E-2</v>
      </c>
      <c r="E28" s="33">
        <f>IF($C$2="Utility-Scale",'Utility Scale Estimates'!F21,IF($C$2="Commercial",'Commercial Scale &amp; UHManoa PV'!E27,""))</f>
        <v>2023</v>
      </c>
      <c r="F28" s="33" t="str">
        <f>IF($C$2="Utility-Scale",'Utility Scale Estimates'!G21,IF($C$2="Commercial",'Commercial Scale &amp; UHManoa PV'!D27,""))</f>
        <v>No</v>
      </c>
      <c r="G28" s="27"/>
    </row>
    <row r="29" spans="1:10" x14ac:dyDescent="0.25">
      <c r="A29" s="36" t="s">
        <v>42</v>
      </c>
      <c r="B29" s="27" t="str">
        <f>IF($C$2="Utility-Scale",'Utility Scale Estimates'!B22,IF($C$2="Commercial",'Commercial Scale &amp; UHManoa PV'!B28,""))</f>
        <v>Law Library</v>
      </c>
      <c r="C29" s="32">
        <f>IF($C$2="Utility-Scale",'Utility Scale Estimates'!C22,IF($C$2="Commercial",'Commercial Scale &amp; UHManoa PV'!G28,""))</f>
        <v>8.5850000000000009</v>
      </c>
      <c r="D29" s="33">
        <f>IF($C$2="Utility-Scale",'Utility Scale Estimates'!E22,IF($C$2="Commercial",'Commercial Scale &amp; UHManoa PV'!C28/1000,""))</f>
        <v>0.50800000000000001</v>
      </c>
      <c r="E29" s="33">
        <f>IF($C$2="Utility-Scale",'Utility Scale Estimates'!F22,IF($C$2="Commercial",'Commercial Scale &amp; UHManoa PV'!E28,""))</f>
        <v>2023</v>
      </c>
      <c r="F29" s="33" t="str">
        <f>IF($C$2="Utility-Scale",'Utility Scale Estimates'!G22,IF($C$2="Commercial",'Commercial Scale &amp; UHManoa PV'!D28,""))</f>
        <v>No</v>
      </c>
      <c r="G29" s="27"/>
    </row>
    <row r="30" spans="1:10" x14ac:dyDescent="0.25">
      <c r="A30" s="36" t="s">
        <v>42</v>
      </c>
      <c r="B30" s="27" t="str">
        <f>IF($C$2="Utility-Scale",'Utility Scale Estimates'!B23,IF($C$2="Commercial",'Commercial Scale &amp; UHManoa PV'!B29,""))</f>
        <v>Sakamaki Hall</v>
      </c>
      <c r="C30" s="32">
        <f>IF($C$2="Utility-Scale",'Utility Scale Estimates'!C23,IF($C$2="Commercial",'Commercial Scale &amp; UHManoa PV'!G29,""))</f>
        <v>8.5850000000000009</v>
      </c>
      <c r="D30" s="33">
        <f>IF($C$2="Utility-Scale",'Utility Scale Estimates'!E23,IF($C$2="Commercial",'Commercial Scale &amp; UHManoa PV'!C29/1000,""))</f>
        <v>0.25700000000000001</v>
      </c>
      <c r="E30" s="33">
        <f>IF($C$2="Utility-Scale",'Utility Scale Estimates'!F23,IF($C$2="Commercial",'Commercial Scale &amp; UHManoa PV'!E29,""))</f>
        <v>2023</v>
      </c>
      <c r="F30" s="33" t="str">
        <f>IF($C$2="Utility-Scale",'Utility Scale Estimates'!G23,IF($C$2="Commercial",'Commercial Scale &amp; UHManoa PV'!D29,""))</f>
        <v>No</v>
      </c>
      <c r="G30" s="27"/>
    </row>
    <row r="31" spans="1:10" x14ac:dyDescent="0.25">
      <c r="A31" s="36" t="s">
        <v>42</v>
      </c>
      <c r="B31" s="27" t="str">
        <f>IF($C$2="Utility-Scale",'Utility Scale Estimates'!B24,IF($C$2="Commercial",'Commercial Scale &amp; UHManoa PV'!B30,""))</f>
        <v>New Landscape Building</v>
      </c>
      <c r="C31" s="32">
        <f>IF($C$2="Utility-Scale",'Utility Scale Estimates'!C24,IF($C$2="Commercial",'Commercial Scale &amp; UHManoa PV'!G30,""))</f>
        <v>8.5850000000000009</v>
      </c>
      <c r="D31" s="33">
        <f>IF($C$2="Utility-Scale",'Utility Scale Estimates'!E24,IF($C$2="Commercial",'Commercial Scale &amp; UHManoa PV'!C30/1000,""))</f>
        <v>0.105</v>
      </c>
      <c r="E31" s="33">
        <f>IF($C$2="Utility-Scale",'Utility Scale Estimates'!F24,IF($C$2="Commercial",'Commercial Scale &amp; UHManoa PV'!E30,""))</f>
        <v>2023</v>
      </c>
      <c r="F31" s="33" t="str">
        <f>IF($C$2="Utility-Scale",'Utility Scale Estimates'!G24,IF($C$2="Commercial",'Commercial Scale &amp; UHManoa PV'!D30,""))</f>
        <v>No</v>
      </c>
      <c r="G31" s="27"/>
    </row>
    <row r="32" spans="1:10" x14ac:dyDescent="0.25">
      <c r="A32" s="36" t="s">
        <v>43</v>
      </c>
      <c r="B32" s="27" t="str">
        <f>IF($C$2="Utility-Scale",'Utility Scale Estimates'!B25,IF($C$2="Commercial",'Commercial Scale &amp; UHManoa PV'!B31,""))</f>
        <v>Lower Campus Parking Phase 1 [Raised]</v>
      </c>
      <c r="C32" s="32">
        <f>IF($C$2="Utility-Scale",'Utility Scale Estimates'!C25,IF($C$2="Commercial",'Commercial Scale &amp; UHManoa PV'!G31,""))</f>
        <v>11.11</v>
      </c>
      <c r="D32" s="33">
        <f>IF($C$2="Utility-Scale",'Utility Scale Estimates'!E25,IF($C$2="Commercial",'Commercial Scale &amp; UHManoa PV'!C31/1000,""))</f>
        <v>1.9219999999999999</v>
      </c>
      <c r="E32" s="33">
        <f>IF($C$2="Utility-Scale",'Utility Scale Estimates'!F25,IF($C$2="Commercial",'Commercial Scale &amp; UHManoa PV'!E31,""))</f>
        <v>2023</v>
      </c>
      <c r="F32" s="33" t="str">
        <f>IF($C$2="Utility-Scale",'Utility Scale Estimates'!G25,IF($C$2="Commercial",'Commercial Scale &amp; UHManoa PV'!D31,""))</f>
        <v>No</v>
      </c>
      <c r="G32" s="27"/>
    </row>
    <row r="33" spans="1:7" x14ac:dyDescent="0.25">
      <c r="A33" s="36" t="s">
        <v>43</v>
      </c>
      <c r="B33" s="27" t="str">
        <f>IF($C$2="Utility-Scale",'Utility Scale Estimates'!B26,IF($C$2="Commercial",'Commercial Scale &amp; UHManoa PV'!B32,""))</f>
        <v>PV Canopy Transportation Services [Raised]</v>
      </c>
      <c r="C33" s="32">
        <f>IF($C$2="Utility-Scale",'Utility Scale Estimates'!C26,IF($C$2="Commercial",'Commercial Scale &amp; UHManoa PV'!G32,""))</f>
        <v>11.11</v>
      </c>
      <c r="D33" s="33">
        <f>IF($C$2="Utility-Scale",'Utility Scale Estimates'!E26,IF($C$2="Commercial",'Commercial Scale &amp; UHManoa PV'!C32/1000,""))</f>
        <v>0.23</v>
      </c>
      <c r="E33" s="33">
        <f>IF($C$2="Utility-Scale",'Utility Scale Estimates'!F26,IF($C$2="Commercial",'Commercial Scale &amp; UHManoa PV'!E32,""))</f>
        <v>2023</v>
      </c>
      <c r="F33" s="33" t="str">
        <f>IF($C$2="Utility-Scale",'Utility Scale Estimates'!G26,IF($C$2="Commercial",'Commercial Scale &amp; UHManoa PV'!D32,""))</f>
        <v>No</v>
      </c>
      <c r="G33" s="27"/>
    </row>
    <row r="34" spans="1:7" x14ac:dyDescent="0.25">
      <c r="A34" s="36" t="s">
        <v>42</v>
      </c>
      <c r="B34" s="27" t="str">
        <f>IF($C$2="Utility-Scale",'Utility Scale Estimates'!B27,IF($C$2="Commercial",'Commercial Scale &amp; UHManoa PV'!B33,""))</f>
        <v>Gilmore Mechanical Building</v>
      </c>
      <c r="C34" s="32">
        <f>IF($C$2="Utility-Scale",'Utility Scale Estimates'!C27,IF($C$2="Commercial",'Commercial Scale &amp; UHManoa PV'!G33,""))</f>
        <v>0.85850000000000004</v>
      </c>
      <c r="D34" s="33">
        <f>IF($C$2="Utility-Scale",'Utility Scale Estimates'!E27,IF($C$2="Commercial",'Commercial Scale &amp; UHManoa PV'!C33/1000,""))</f>
        <v>0.24</v>
      </c>
      <c r="E34" s="33">
        <f>IF($C$2="Utility-Scale",'Utility Scale Estimates'!F27,IF($C$2="Commercial",'Commercial Scale &amp; UHManoa PV'!E33,""))</f>
        <v>2024</v>
      </c>
      <c r="F34" s="33" t="str">
        <f>IF($C$2="Utility-Scale",'Utility Scale Estimates'!G27,IF($C$2="Commercial",'Commercial Scale &amp; UHManoa PV'!D33,""))</f>
        <v>No</v>
      </c>
      <c r="G34" s="27"/>
    </row>
    <row r="35" spans="1:7" x14ac:dyDescent="0.25">
      <c r="A35" s="36" t="s">
        <v>42</v>
      </c>
      <c r="B35" s="27" t="str">
        <f>IF($C$2="Utility-Scale",'Utility Scale Estimates'!B28,IF($C$2="Commercial",'Commercial Scale &amp; UHManoa PV'!B34,""))</f>
        <v>Queen Liliuokalani Center</v>
      </c>
      <c r="C35" s="32">
        <f>IF($C$2="Utility-Scale",'Utility Scale Estimates'!C28,IF($C$2="Commercial",'Commercial Scale &amp; UHManoa PV'!G34,""))</f>
        <v>8.08</v>
      </c>
      <c r="D35" s="33">
        <f>IF($C$2="Utility-Scale",'Utility Scale Estimates'!E28,IF($C$2="Commercial",'Commercial Scale &amp; UHManoa PV'!C34/1000,""))</f>
        <v>6.0999999999999999E-2</v>
      </c>
      <c r="E35" s="33">
        <f>IF($C$2="Utility-Scale",'Utility Scale Estimates'!F28,IF($C$2="Commercial",'Commercial Scale &amp; UHManoa PV'!E34,""))</f>
        <v>2024</v>
      </c>
      <c r="F35" s="33" t="str">
        <f>IF($C$2="Utility-Scale",'Utility Scale Estimates'!G28,IF($C$2="Commercial",'Commercial Scale &amp; UHManoa PV'!D34,""))</f>
        <v>No</v>
      </c>
      <c r="G35" s="27"/>
    </row>
    <row r="36" spans="1:7" x14ac:dyDescent="0.25">
      <c r="A36" s="36" t="s">
        <v>42</v>
      </c>
      <c r="B36" s="27" t="str">
        <f>IF($C$2="Utility-Scale",'Utility Scale Estimates'!B29,IF($C$2="Commercial",'Commercial Scale &amp; UHManoa PV'!B35,""))</f>
        <v>Gilmore Hall</v>
      </c>
      <c r="C36" s="32">
        <f>IF($C$2="Utility-Scale",'Utility Scale Estimates'!C29,IF($C$2="Commercial",'Commercial Scale &amp; UHManoa PV'!G35,""))</f>
        <v>8.5850000000000009</v>
      </c>
      <c r="D36" s="33">
        <f>IF($C$2="Utility-Scale",'Utility Scale Estimates'!E29,IF($C$2="Commercial",'Commercial Scale &amp; UHManoa PV'!C35/1000,""))</f>
        <v>5.7000000000000002E-2</v>
      </c>
      <c r="E36" s="33">
        <f>IF($C$2="Utility-Scale",'Utility Scale Estimates'!F29,IF($C$2="Commercial",'Commercial Scale &amp; UHManoa PV'!E35,""))</f>
        <v>2024</v>
      </c>
      <c r="F36" s="33" t="str">
        <f>IF($C$2="Utility-Scale",'Utility Scale Estimates'!G29,IF($C$2="Commercial",'Commercial Scale &amp; UHManoa PV'!D35,""))</f>
        <v>No</v>
      </c>
      <c r="G36" s="27"/>
    </row>
    <row r="37" spans="1:7" x14ac:dyDescent="0.25">
      <c r="A37" s="36" t="s">
        <v>43</v>
      </c>
      <c r="B37" s="27" t="str">
        <f>IF($C$2="Utility-Scale",'Utility Scale Estimates'!B30,IF($C$2="Commercial",'Commercial Scale &amp; UHManoa PV'!B36,""))</f>
        <v>Biomed Parking Canopy [Raised]</v>
      </c>
      <c r="C37" s="32">
        <f>IF($C$2="Utility-Scale",'Utility Scale Estimates'!C30,IF($C$2="Commercial",'Commercial Scale &amp; UHManoa PV'!G36,""))</f>
        <v>11.11</v>
      </c>
      <c r="D37" s="33">
        <f>IF($C$2="Utility-Scale",'Utility Scale Estimates'!E30,IF($C$2="Commercial",'Commercial Scale &amp; UHManoa PV'!C36/1000,""))</f>
        <v>0.78300000000000003</v>
      </c>
      <c r="E37" s="33">
        <f>IF($C$2="Utility-Scale",'Utility Scale Estimates'!F30,IF($C$2="Commercial",'Commercial Scale &amp; UHManoa PV'!E36,""))</f>
        <v>2024</v>
      </c>
      <c r="F37" s="33" t="str">
        <f>IF($C$2="Utility-Scale",'Utility Scale Estimates'!G30,IF($C$2="Commercial",'Commercial Scale &amp; UHManoa PV'!D36,""))</f>
        <v>No</v>
      </c>
      <c r="G37" s="27"/>
    </row>
    <row r="38" spans="1:7" x14ac:dyDescent="0.25">
      <c r="A38" s="36" t="s">
        <v>43</v>
      </c>
      <c r="B38" s="27" t="str">
        <f>IF($C$2="Utility-Scale",'Utility Scale Estimates'!B31,IF($C$2="Commercial",'Commercial Scale &amp; UHManoa PV'!B37,""))</f>
        <v>Parking Permit Zone 17 - Music Complex [Raised]</v>
      </c>
      <c r="C38" s="32">
        <f>IF($C$2="Utility-Scale",'Utility Scale Estimates'!C31,IF($C$2="Commercial",'Commercial Scale &amp; UHManoa PV'!G37,""))</f>
        <v>10.916137440758293</v>
      </c>
      <c r="D38" s="33">
        <f>IF($C$2="Utility-Scale",'Utility Scale Estimates'!E31,IF($C$2="Commercial",'Commercial Scale &amp; UHManoa PV'!C37/1000,""))</f>
        <v>0.42199999999999999</v>
      </c>
      <c r="E38" s="33">
        <f>IF($C$2="Utility-Scale",'Utility Scale Estimates'!F31,IF($C$2="Commercial",'Commercial Scale &amp; UHManoa PV'!E37,""))</f>
        <v>2024</v>
      </c>
      <c r="F38" s="33" t="str">
        <f>IF($C$2="Utility-Scale",'Utility Scale Estimates'!G31,IF($C$2="Commercial",'Commercial Scale &amp; UHManoa PV'!D37,""))</f>
        <v>No</v>
      </c>
      <c r="G38" s="27"/>
    </row>
    <row r="39" spans="1:7" x14ac:dyDescent="0.25">
      <c r="A39" s="36" t="s">
        <v>42</v>
      </c>
      <c r="B39" s="27" t="str">
        <f>IF($C$2="Utility-Scale",'Utility Scale Estimates'!B32,IF($C$2="Commercial",'Commercial Scale &amp; UHManoa PV'!B38,""))</f>
        <v>YCA Hilo Gym Solar</v>
      </c>
      <c r="C39" s="32">
        <f>IF($C$2="Utility-Scale",'Utility Scale Estimates'!C32,IF($C$2="Commercial",'Commercial Scale &amp; UHManoa PV'!G38,""))</f>
        <v>3.6458596491228068</v>
      </c>
      <c r="D39" s="33">
        <f>IF($C$2="Utility-Scale",'Utility Scale Estimates'!E32,IF($C$2="Commercial",'Commercial Scale &amp; UHManoa PV'!C38/1000,""))</f>
        <v>5.7000000000000002E-2</v>
      </c>
      <c r="E39" s="33">
        <f>IF($C$2="Utility-Scale",'Utility Scale Estimates'!F32,IF($C$2="Commercial",'Commercial Scale &amp; UHManoa PV'!E38,""))</f>
        <v>2023</v>
      </c>
      <c r="F39" s="33" t="str">
        <f>IF($C$2="Utility-Scale",'Utility Scale Estimates'!G32,IF($C$2="Commercial",'Commercial Scale &amp; UHManoa PV'!D38,""))</f>
        <v>No</v>
      </c>
      <c r="G39" s="27"/>
    </row>
    <row r="40" spans="1:7" x14ac:dyDescent="0.25">
      <c r="A40" s="36" t="s">
        <v>42</v>
      </c>
      <c r="B40" s="27" t="str">
        <f>IF($C$2="Utility-Scale",'Utility Scale Estimates'!B33,IF($C$2="Commercial",'Commercial Scale &amp; UHManoa PV'!B39,""))</f>
        <v>Makena State Park</v>
      </c>
      <c r="C40" s="32">
        <f>IF($C$2="Utility-Scale",'Utility Scale Estimates'!C33,IF($C$2="Commercial",'Commercial Scale &amp; UHManoa PV'!G39,""))</f>
        <v>7.2786100000000005</v>
      </c>
      <c r="D40" s="33">
        <f>IF($C$2="Utility-Scale",'Utility Scale Estimates'!E33,IF($C$2="Commercial",'Commercial Scale &amp; UHManoa PV'!C39/1000,""))</f>
        <v>0.01</v>
      </c>
      <c r="E40" s="33">
        <f>IF($C$2="Utility-Scale",'Utility Scale Estimates'!F33,IF($C$2="Commercial",'Commercial Scale &amp; UHManoa PV'!E39,""))</f>
        <v>2023</v>
      </c>
      <c r="F40" s="33" t="str">
        <f>IF($C$2="Utility-Scale",'Utility Scale Estimates'!G33,IF($C$2="Commercial",'Commercial Scale &amp; UHManoa PV'!D39,""))</f>
        <v>Yes</v>
      </c>
      <c r="G40" s="27"/>
    </row>
    <row r="41" spans="1:7" x14ac:dyDescent="0.25">
      <c r="B41" s="27"/>
      <c r="G41" s="27"/>
    </row>
    <row r="42" spans="1:7" x14ac:dyDescent="0.25">
      <c r="B42" s="27"/>
      <c r="G42" s="27"/>
    </row>
    <row r="43" spans="1:7" x14ac:dyDescent="0.25">
      <c r="B43" s="27"/>
      <c r="G43" s="27"/>
    </row>
    <row r="44" spans="1:7" x14ac:dyDescent="0.25">
      <c r="C44" s="38"/>
      <c r="D44" s="39"/>
    </row>
    <row r="45" spans="1:7" x14ac:dyDescent="0.25">
      <c r="C45" s="38"/>
      <c r="D45" s="39"/>
    </row>
    <row r="46" spans="1:7" x14ac:dyDescent="0.25">
      <c r="C46" s="38"/>
      <c r="D46" s="39"/>
    </row>
    <row r="47" spans="1:7" x14ac:dyDescent="0.25">
      <c r="C47" s="38"/>
      <c r="D47" s="39"/>
    </row>
    <row r="48" spans="1:7" x14ac:dyDescent="0.25">
      <c r="C48" s="38"/>
      <c r="D48" s="39"/>
    </row>
    <row r="49" spans="3:4" x14ac:dyDescent="0.25">
      <c r="C49" s="38"/>
      <c r="D49" s="39"/>
    </row>
    <row r="50" spans="3:4" x14ac:dyDescent="0.25">
      <c r="C50" s="38"/>
      <c r="D50" s="39"/>
    </row>
    <row r="51" spans="3:4" x14ac:dyDescent="0.25">
      <c r="C51" s="38"/>
      <c r="D51" s="39"/>
    </row>
    <row r="52" spans="3:4" x14ac:dyDescent="0.25">
      <c r="C52" s="38"/>
      <c r="D52" s="39"/>
    </row>
    <row r="53" spans="3:4" x14ac:dyDescent="0.25">
      <c r="C53" s="38"/>
      <c r="D53" s="39"/>
    </row>
    <row r="54" spans="3:4" x14ac:dyDescent="0.25">
      <c r="C54" s="38"/>
      <c r="D54" s="39"/>
    </row>
    <row r="55" spans="3:4" x14ac:dyDescent="0.25">
      <c r="C55" s="38"/>
      <c r="D55" s="39"/>
    </row>
  </sheetData>
  <mergeCells count="4">
    <mergeCell ref="H7:J7"/>
    <mergeCell ref="D1:F1"/>
    <mergeCell ref="C7:F7"/>
    <mergeCell ref="A7:B7"/>
  </mergeCells>
  <dataValidations count="1">
    <dataValidation type="decimal" operator="greaterThan" allowBlank="1" showInputMessage="1" showErrorMessage="1" sqref="C4:C6" xr:uid="{00000000-0002-0000-0100-000000000000}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2"/>
  <sheetViews>
    <sheetView showGridLines="0" workbookViewId="0"/>
  </sheetViews>
  <sheetFormatPr defaultRowHeight="15" x14ac:dyDescent="0.25"/>
  <cols>
    <col min="1" max="1" width="24.85546875" customWidth="1"/>
    <col min="2" max="2" width="63.85546875" customWidth="1"/>
    <col min="3" max="3" width="27.85546875" customWidth="1"/>
    <col min="4" max="6" width="22.140625" customWidth="1"/>
    <col min="7" max="7" width="30" customWidth="1"/>
    <col min="8" max="8" width="26.5703125" customWidth="1"/>
  </cols>
  <sheetData>
    <row r="1" spans="1:9" ht="60" customHeight="1" x14ac:dyDescent="0.25">
      <c r="A1" t="s">
        <v>44</v>
      </c>
      <c r="B1" s="3" t="s">
        <v>45</v>
      </c>
      <c r="C1" s="35" t="s">
        <v>46</v>
      </c>
      <c r="D1" t="s">
        <v>47</v>
      </c>
      <c r="E1" t="s">
        <v>36</v>
      </c>
      <c r="F1" t="s">
        <v>37</v>
      </c>
      <c r="G1" t="s">
        <v>38</v>
      </c>
      <c r="H1" t="s">
        <v>48</v>
      </c>
      <c r="I1" t="s">
        <v>49</v>
      </c>
    </row>
    <row r="2" spans="1:9" x14ac:dyDescent="0.25">
      <c r="A2" t="s">
        <v>42</v>
      </c>
      <c r="B2" t="s">
        <v>50</v>
      </c>
      <c r="C2" s="35">
        <f>IF('Cost Calculator'!$C$3="PV",I2,IF('Cost Calculator'!$C$3="PV + BESS",D2,H2))</f>
        <v>3.3764382651187548</v>
      </c>
      <c r="D2" s="32">
        <f>'HECO Estimates'!D15</f>
        <v>3.3764382651187548</v>
      </c>
      <c r="E2" s="32" t="s">
        <v>51</v>
      </c>
      <c r="F2" s="34" t="s">
        <v>52</v>
      </c>
      <c r="G2" s="32" t="s">
        <v>51</v>
      </c>
      <c r="H2" s="32">
        <f>'HECO Estimates'!D6</f>
        <v>0.92159964595404686</v>
      </c>
      <c r="I2" s="32">
        <f>'HECO Estimates'!D2</f>
        <v>2.454838619164708</v>
      </c>
    </row>
    <row r="3" spans="1:9" x14ac:dyDescent="0.25">
      <c r="A3" t="s">
        <v>42</v>
      </c>
      <c r="B3" t="s">
        <v>53</v>
      </c>
      <c r="C3" s="35">
        <f>IF('Cost Calculator'!$C$3="PV",I3,IF('Cost Calculator'!$C$3="PV + BESS",D3,H3))</f>
        <v>2.121</v>
      </c>
      <c r="D3" s="32">
        <f>SUM(Estimate_8!B2,Estimate_8!B6)</f>
        <v>2.121</v>
      </c>
      <c r="E3" s="32" t="s">
        <v>51</v>
      </c>
      <c r="F3" s="34" t="s">
        <v>54</v>
      </c>
      <c r="G3" s="32" t="s">
        <v>51</v>
      </c>
      <c r="H3" s="32">
        <f>Estimate_8!B6</f>
        <v>0.97599999999999998</v>
      </c>
      <c r="I3" s="32">
        <f>Estimate_8!B2</f>
        <v>1.145</v>
      </c>
    </row>
    <row r="4" spans="1:9" x14ac:dyDescent="0.25">
      <c r="A4" t="s">
        <v>43</v>
      </c>
      <c r="B4" s="1" t="s">
        <v>55</v>
      </c>
      <c r="C4" s="35">
        <f>IF('Cost Calculator'!$C$3="PV",I4,IF('Cost Calculator'!$C$3="PV + BESS",D4,H4))</f>
        <v>2.3612000000000002</v>
      </c>
      <c r="D4" s="32">
        <f>SUM(H4,I4)</f>
        <v>2.3612000000000002</v>
      </c>
      <c r="E4" s="32" t="s">
        <v>51</v>
      </c>
      <c r="F4" s="34" t="s">
        <v>54</v>
      </c>
      <c r="G4" s="32" t="s">
        <v>51</v>
      </c>
      <c r="H4" s="32">
        <f>Estimate_9!B10</f>
        <v>1.2812000000000001</v>
      </c>
      <c r="I4" s="32">
        <f>Estimate_9!B2</f>
        <v>1.08</v>
      </c>
    </row>
    <row r="5" spans="1:9" x14ac:dyDescent="0.25">
      <c r="A5" t="s">
        <v>42</v>
      </c>
      <c r="B5" t="s">
        <v>56</v>
      </c>
      <c r="C5" s="35">
        <f>IF('Cost Calculator'!$C$3="PV",I5,IF('Cost Calculator'!$C$3="PV + BESS",D5,H5))</f>
        <v>2.9396800000000001</v>
      </c>
      <c r="D5" s="32">
        <f t="shared" ref="D5:D6" si="0">SUM(H5,I5)</f>
        <v>2.9396800000000001</v>
      </c>
      <c r="E5" s="32" t="s">
        <v>51</v>
      </c>
      <c r="F5" s="34" t="s">
        <v>54</v>
      </c>
      <c r="G5" s="32" t="s">
        <v>51</v>
      </c>
      <c r="H5" s="32">
        <f>Estimate_9!B11</f>
        <v>1.4396800000000001</v>
      </c>
      <c r="I5" s="32">
        <f>Estimate_9!B3</f>
        <v>1.5</v>
      </c>
    </row>
    <row r="6" spans="1:9" x14ac:dyDescent="0.25">
      <c r="A6" t="s">
        <v>43</v>
      </c>
      <c r="B6" t="s">
        <v>57</v>
      </c>
      <c r="C6" s="35">
        <f>IF('Cost Calculator'!$C$3="PV",I6,IF('Cost Calculator'!$C$3="PV + BESS",D6,H6))</f>
        <v>4.6796800000000003</v>
      </c>
      <c r="D6" s="32">
        <f t="shared" si="0"/>
        <v>4.6796800000000003</v>
      </c>
      <c r="E6" s="32" t="s">
        <v>51</v>
      </c>
      <c r="F6" s="34" t="s">
        <v>58</v>
      </c>
      <c r="G6" s="32" t="s">
        <v>51</v>
      </c>
      <c r="H6" s="32">
        <f>Estimate_9!B11</f>
        <v>1.4396800000000001</v>
      </c>
      <c r="I6" s="32">
        <f>Estimate_9!B4</f>
        <v>3.24</v>
      </c>
    </row>
    <row r="7" spans="1:9" x14ac:dyDescent="0.25">
      <c r="A7" t="s">
        <v>42</v>
      </c>
      <c r="B7" t="s">
        <v>59</v>
      </c>
      <c r="C7" s="35">
        <f>IF('Cost Calculator'!$C$3="PV",I7,IF('Cost Calculator'!$C$3="PV + BESS",D7,H7))</f>
        <v>5.0321525833333336</v>
      </c>
      <c r="D7" s="32">
        <f>Estimate_3!B11</f>
        <v>5.0321525833333336</v>
      </c>
      <c r="E7" s="34">
        <v>12</v>
      </c>
      <c r="F7" s="34">
        <v>2020</v>
      </c>
      <c r="G7" s="32" t="s">
        <v>60</v>
      </c>
      <c r="H7" s="32">
        <f>Estimate_3!B10</f>
        <v>2.4416666666666669</v>
      </c>
      <c r="I7" s="32">
        <f>Estimate_3!B9</f>
        <v>3.6588664799999999</v>
      </c>
    </row>
    <row r="8" spans="1:9" x14ac:dyDescent="0.25">
      <c r="A8" t="s">
        <v>42</v>
      </c>
      <c r="B8" t="s">
        <v>61</v>
      </c>
      <c r="C8" s="35">
        <f>IF('Cost Calculator'!$C$3="PV",I8,IF('Cost Calculator'!$C$3="PV + BESS",D8,H8))</f>
        <v>3.4333333333333331</v>
      </c>
      <c r="D8" s="32">
        <f>Estimate_4!B3</f>
        <v>3.4333333333333331</v>
      </c>
      <c r="E8" s="34">
        <v>12</v>
      </c>
      <c r="F8" s="34">
        <v>2016</v>
      </c>
      <c r="G8" s="32" t="s">
        <v>60</v>
      </c>
      <c r="H8" s="32" t="s">
        <v>62</v>
      </c>
      <c r="I8" s="32" t="s">
        <v>62</v>
      </c>
    </row>
    <row r="9" spans="1:9" x14ac:dyDescent="0.25">
      <c r="A9" t="s">
        <v>42</v>
      </c>
      <c r="B9" t="s">
        <v>63</v>
      </c>
      <c r="C9" s="35">
        <f>IF('Cost Calculator'!$C$3="PV",I9,IF('Cost Calculator'!$C$3="PV + BESS",D9,H9))</f>
        <v>1.7027777777777777</v>
      </c>
      <c r="D9" s="32">
        <f>Estimate_1!B3</f>
        <v>1.7027777777777777</v>
      </c>
      <c r="E9" s="34">
        <v>36</v>
      </c>
      <c r="F9" s="34">
        <v>2023</v>
      </c>
      <c r="G9" s="32" t="s">
        <v>64</v>
      </c>
      <c r="H9" s="32" t="s">
        <v>62</v>
      </c>
      <c r="I9" s="32" t="s">
        <v>62</v>
      </c>
    </row>
    <row r="10" spans="1:9" x14ac:dyDescent="0.25">
      <c r="A10" t="s">
        <v>42</v>
      </c>
      <c r="B10" t="s">
        <v>65</v>
      </c>
      <c r="C10" s="35">
        <f>IF('Cost Calculator'!$C$3="PV",I10,IF('Cost Calculator'!$C$3="PV + BESS",D10,H10))</f>
        <v>3.68</v>
      </c>
      <c r="D10" s="32">
        <f>Estimate_2!B3</f>
        <v>3.68</v>
      </c>
      <c r="E10" s="34">
        <v>12.5</v>
      </c>
      <c r="F10" s="34">
        <v>2023</v>
      </c>
      <c r="G10" s="32" t="s">
        <v>66</v>
      </c>
      <c r="H10" s="32" t="s">
        <v>62</v>
      </c>
      <c r="I10" s="32" t="s">
        <v>62</v>
      </c>
    </row>
    <row r="11" spans="1:9" x14ac:dyDescent="0.25">
      <c r="A11" t="s">
        <v>43</v>
      </c>
      <c r="B11" t="s">
        <v>67</v>
      </c>
      <c r="C11" s="35">
        <f>IF('Cost Calculator'!$C$3="PV",I11,IF('Cost Calculator'!$C$3="PV + BESS",D11,H11))</f>
        <v>1.1333333333333333</v>
      </c>
      <c r="D11" s="32">
        <f>Estimate_6!B4</f>
        <v>1.1333333333333333</v>
      </c>
      <c r="E11" s="34">
        <v>60</v>
      </c>
      <c r="F11" s="34" t="s">
        <v>68</v>
      </c>
      <c r="G11" s="32" t="s">
        <v>69</v>
      </c>
      <c r="H11" s="32" t="s">
        <v>62</v>
      </c>
      <c r="I11" s="32" t="s">
        <v>62</v>
      </c>
    </row>
    <row r="12" spans="1:9" x14ac:dyDescent="0.25">
      <c r="A12" t="s">
        <v>42</v>
      </c>
      <c r="B12" t="s">
        <v>70</v>
      </c>
      <c r="C12" s="35">
        <f>IF('Cost Calculator'!$C$3="PV",I12,IF('Cost Calculator'!$C$3="PV + BESS",D12,H12))</f>
        <v>8.0816326530612237</v>
      </c>
      <c r="D12" s="32">
        <f>Estimate_7!B7</f>
        <v>8.0816326530612237</v>
      </c>
      <c r="E12" s="34">
        <v>2.4500000000000002</v>
      </c>
      <c r="F12" s="34" t="s">
        <v>71</v>
      </c>
      <c r="G12" s="32" t="s">
        <v>72</v>
      </c>
      <c r="H12" s="32" t="s">
        <v>62</v>
      </c>
      <c r="I12" s="32" t="s">
        <v>62</v>
      </c>
    </row>
    <row r="13" spans="1:9" x14ac:dyDescent="0.25">
      <c r="A13" t="s">
        <v>62</v>
      </c>
      <c r="B13" t="s">
        <v>62</v>
      </c>
      <c r="C13" s="35" t="str">
        <f>IF('Cost Calculator'!$C$3="PV",I13,IF('Cost Calculator'!$C$3="PV + BESS",D13,H13))</f>
        <v>-</v>
      </c>
      <c r="D13" t="s">
        <v>62</v>
      </c>
      <c r="E13" t="s">
        <v>62</v>
      </c>
      <c r="F13" t="s">
        <v>62</v>
      </c>
      <c r="G13" s="32" t="s">
        <v>62</v>
      </c>
      <c r="H13" s="32" t="s">
        <v>62</v>
      </c>
      <c r="I13" s="32" t="s">
        <v>62</v>
      </c>
    </row>
    <row r="14" spans="1:9" x14ac:dyDescent="0.25">
      <c r="A14" t="s">
        <v>62</v>
      </c>
      <c r="B14" t="s">
        <v>62</v>
      </c>
      <c r="C14" s="35" t="str">
        <f>IF('Cost Calculator'!$C$3="PV",I14,IF('Cost Calculator'!$C$3="PV + BESS",D14,H14))</f>
        <v>-</v>
      </c>
      <c r="D14" t="s">
        <v>62</v>
      </c>
      <c r="E14" t="s">
        <v>62</v>
      </c>
      <c r="F14" t="s">
        <v>62</v>
      </c>
      <c r="G14" s="32" t="s">
        <v>62</v>
      </c>
      <c r="H14" s="32" t="s">
        <v>62</v>
      </c>
      <c r="I14" s="32" t="s">
        <v>62</v>
      </c>
    </row>
    <row r="15" spans="1:9" x14ac:dyDescent="0.25">
      <c r="A15" t="s">
        <v>62</v>
      </c>
      <c r="B15" t="s">
        <v>62</v>
      </c>
      <c r="C15" s="35" t="str">
        <f>IF('Cost Calculator'!$C$3="PV",I15,IF('Cost Calculator'!$C$3="PV + BESS",D15,H15))</f>
        <v>-</v>
      </c>
      <c r="D15" t="s">
        <v>62</v>
      </c>
      <c r="E15" t="s">
        <v>62</v>
      </c>
      <c r="F15" t="s">
        <v>62</v>
      </c>
      <c r="G15" s="32" t="s">
        <v>62</v>
      </c>
      <c r="H15" s="32" t="s">
        <v>62</v>
      </c>
      <c r="I15" s="32" t="s">
        <v>62</v>
      </c>
    </row>
    <row r="16" spans="1:9" x14ac:dyDescent="0.25">
      <c r="A16" t="s">
        <v>62</v>
      </c>
      <c r="B16" t="s">
        <v>62</v>
      </c>
      <c r="C16" s="35" t="str">
        <f>IF('Cost Calculator'!$C$3="PV",I16,IF('Cost Calculator'!$C$3="PV + BESS",D16,H16))</f>
        <v>-</v>
      </c>
      <c r="D16" t="s">
        <v>62</v>
      </c>
      <c r="E16" t="s">
        <v>62</v>
      </c>
      <c r="F16" t="s">
        <v>62</v>
      </c>
      <c r="G16" s="32" t="s">
        <v>62</v>
      </c>
      <c r="H16" s="32" t="s">
        <v>62</v>
      </c>
      <c r="I16" s="32" t="s">
        <v>62</v>
      </c>
    </row>
    <row r="17" spans="1:9" x14ac:dyDescent="0.25">
      <c r="A17" t="s">
        <v>62</v>
      </c>
      <c r="B17" t="s">
        <v>62</v>
      </c>
      <c r="C17" s="35" t="str">
        <f>IF('Cost Calculator'!$C$3="PV",I17,IF('Cost Calculator'!$C$3="PV + BESS",D17,H17))</f>
        <v>-</v>
      </c>
      <c r="D17" t="s">
        <v>62</v>
      </c>
      <c r="E17" t="s">
        <v>62</v>
      </c>
      <c r="F17" t="s">
        <v>62</v>
      </c>
      <c r="G17" s="32" t="s">
        <v>62</v>
      </c>
      <c r="H17" s="32" t="s">
        <v>62</v>
      </c>
      <c r="I17" s="32" t="s">
        <v>62</v>
      </c>
    </row>
    <row r="18" spans="1:9" x14ac:dyDescent="0.25">
      <c r="A18" t="s">
        <v>62</v>
      </c>
      <c r="B18" t="s">
        <v>62</v>
      </c>
      <c r="C18" s="35" t="str">
        <f>IF('Cost Calculator'!$C$3="PV",I18,IF('Cost Calculator'!$C$3="PV + BESS",D18,H18))</f>
        <v>-</v>
      </c>
      <c r="D18" t="s">
        <v>62</v>
      </c>
      <c r="E18" t="s">
        <v>62</v>
      </c>
      <c r="F18" t="s">
        <v>62</v>
      </c>
      <c r="G18" s="32" t="s">
        <v>62</v>
      </c>
      <c r="H18" s="32" t="s">
        <v>62</v>
      </c>
      <c r="I18" s="32" t="s">
        <v>62</v>
      </c>
    </row>
    <row r="19" spans="1:9" x14ac:dyDescent="0.25">
      <c r="A19" t="s">
        <v>62</v>
      </c>
      <c r="B19" t="s">
        <v>62</v>
      </c>
      <c r="C19" s="35" t="str">
        <f>IF('Cost Calculator'!$C$3="PV",I19,IF('Cost Calculator'!$C$3="PV + BESS",D19,H19))</f>
        <v>-</v>
      </c>
      <c r="D19" t="s">
        <v>62</v>
      </c>
      <c r="E19" t="s">
        <v>62</v>
      </c>
      <c r="F19" t="s">
        <v>62</v>
      </c>
      <c r="G19" s="32" t="s">
        <v>62</v>
      </c>
      <c r="H19" s="32" t="s">
        <v>62</v>
      </c>
      <c r="I19" s="32" t="s">
        <v>62</v>
      </c>
    </row>
    <row r="20" spans="1:9" x14ac:dyDescent="0.25">
      <c r="A20" t="s">
        <v>62</v>
      </c>
      <c r="B20" t="s">
        <v>62</v>
      </c>
      <c r="C20" s="35" t="str">
        <f>IF('Cost Calculator'!$C$3="PV",I20,IF('Cost Calculator'!$C$3="PV + BESS",D20,H20))</f>
        <v>-</v>
      </c>
      <c r="D20" t="s">
        <v>62</v>
      </c>
      <c r="E20" t="s">
        <v>62</v>
      </c>
      <c r="F20" t="s">
        <v>62</v>
      </c>
      <c r="G20" s="32" t="s">
        <v>62</v>
      </c>
      <c r="H20" s="32" t="s">
        <v>62</v>
      </c>
      <c r="I20" s="32" t="s">
        <v>62</v>
      </c>
    </row>
    <row r="21" spans="1:9" x14ac:dyDescent="0.25">
      <c r="A21" t="s">
        <v>62</v>
      </c>
      <c r="B21" t="s">
        <v>62</v>
      </c>
      <c r="C21" s="35" t="str">
        <f>IF('Cost Calculator'!$C$3="PV",I21,IF('Cost Calculator'!$C$3="PV + BESS",D21,H21))</f>
        <v>-</v>
      </c>
      <c r="D21" t="s">
        <v>62</v>
      </c>
      <c r="E21" t="s">
        <v>62</v>
      </c>
      <c r="F21" t="s">
        <v>62</v>
      </c>
      <c r="G21" s="32" t="s">
        <v>62</v>
      </c>
      <c r="H21" s="32" t="s">
        <v>62</v>
      </c>
      <c r="I21" s="32" t="s">
        <v>62</v>
      </c>
    </row>
    <row r="22" spans="1:9" x14ac:dyDescent="0.25">
      <c r="A22" t="s">
        <v>62</v>
      </c>
      <c r="B22" t="s">
        <v>62</v>
      </c>
      <c r="C22" s="35" t="str">
        <f>IF('Cost Calculator'!$C$3="PV",I22,IF('Cost Calculator'!$C$3="PV + BESS",D22,H22))</f>
        <v>-</v>
      </c>
      <c r="D22" t="s">
        <v>62</v>
      </c>
      <c r="E22" t="s">
        <v>62</v>
      </c>
      <c r="F22" t="s">
        <v>62</v>
      </c>
      <c r="G22" s="32" t="s">
        <v>62</v>
      </c>
      <c r="H22" s="32" t="s">
        <v>62</v>
      </c>
      <c r="I22" s="32" t="s">
        <v>62</v>
      </c>
    </row>
    <row r="23" spans="1:9" x14ac:dyDescent="0.25">
      <c r="A23" t="s">
        <v>62</v>
      </c>
      <c r="B23" t="s">
        <v>62</v>
      </c>
      <c r="C23" s="35" t="str">
        <f>IF('Cost Calculator'!$C$3="PV",I23,IF('Cost Calculator'!$C$3="PV + BESS",D23,H23))</f>
        <v>-</v>
      </c>
      <c r="D23" t="s">
        <v>62</v>
      </c>
      <c r="E23" t="s">
        <v>62</v>
      </c>
      <c r="F23" t="s">
        <v>62</v>
      </c>
      <c r="G23" s="32" t="s">
        <v>62</v>
      </c>
      <c r="H23" s="32" t="s">
        <v>62</v>
      </c>
      <c r="I23" s="32" t="s">
        <v>62</v>
      </c>
    </row>
    <row r="24" spans="1:9" x14ac:dyDescent="0.25">
      <c r="A24" t="s">
        <v>62</v>
      </c>
      <c r="B24" t="s">
        <v>62</v>
      </c>
      <c r="C24" s="35" t="str">
        <f>IF('Cost Calculator'!$C$3="PV",I24,IF('Cost Calculator'!$C$3="PV + BESS",D24,H24))</f>
        <v>-</v>
      </c>
      <c r="D24" t="s">
        <v>62</v>
      </c>
      <c r="E24" t="s">
        <v>62</v>
      </c>
      <c r="F24" t="s">
        <v>62</v>
      </c>
      <c r="G24" s="32" t="s">
        <v>62</v>
      </c>
      <c r="H24" s="32" t="s">
        <v>62</v>
      </c>
      <c r="I24" s="32" t="s">
        <v>62</v>
      </c>
    </row>
    <row r="25" spans="1:9" x14ac:dyDescent="0.25">
      <c r="A25" t="s">
        <v>62</v>
      </c>
      <c r="B25" t="s">
        <v>62</v>
      </c>
      <c r="C25" s="35" t="str">
        <f>IF('Cost Calculator'!$C$3="PV",I25,IF('Cost Calculator'!$C$3="PV + BESS",D25,H25))</f>
        <v>-</v>
      </c>
      <c r="D25" t="s">
        <v>62</v>
      </c>
      <c r="E25" t="s">
        <v>62</v>
      </c>
      <c r="F25" t="s">
        <v>62</v>
      </c>
      <c r="G25" s="32" t="s">
        <v>62</v>
      </c>
      <c r="H25" s="32" t="s">
        <v>62</v>
      </c>
      <c r="I25" s="32" t="s">
        <v>62</v>
      </c>
    </row>
    <row r="26" spans="1:9" x14ac:dyDescent="0.25">
      <c r="A26" t="s">
        <v>62</v>
      </c>
      <c r="B26" t="s">
        <v>62</v>
      </c>
      <c r="C26" s="35" t="str">
        <f>IF('Cost Calculator'!$C$3="PV",I26,IF('Cost Calculator'!$C$3="PV + BESS",D26,H26))</f>
        <v>-</v>
      </c>
      <c r="D26" t="s">
        <v>62</v>
      </c>
      <c r="E26" t="s">
        <v>62</v>
      </c>
      <c r="F26" t="s">
        <v>62</v>
      </c>
      <c r="G26" s="32" t="s">
        <v>62</v>
      </c>
      <c r="H26" s="32" t="s">
        <v>62</v>
      </c>
      <c r="I26" s="32" t="s">
        <v>62</v>
      </c>
    </row>
    <row r="27" spans="1:9" x14ac:dyDescent="0.25">
      <c r="A27" t="s">
        <v>62</v>
      </c>
      <c r="B27" t="s">
        <v>62</v>
      </c>
      <c r="C27" s="35" t="str">
        <f>IF('Cost Calculator'!$C$3="PV",I27,IF('Cost Calculator'!$C$3="PV + BESS",D27,H27))</f>
        <v>-</v>
      </c>
      <c r="D27" t="s">
        <v>62</v>
      </c>
      <c r="E27" t="s">
        <v>62</v>
      </c>
      <c r="F27" t="s">
        <v>62</v>
      </c>
      <c r="G27" s="32" t="s">
        <v>62</v>
      </c>
      <c r="H27" s="32" t="s">
        <v>62</v>
      </c>
      <c r="I27" s="32" t="s">
        <v>62</v>
      </c>
    </row>
    <row r="28" spans="1:9" x14ac:dyDescent="0.25">
      <c r="A28" t="s">
        <v>62</v>
      </c>
      <c r="B28" t="s">
        <v>62</v>
      </c>
      <c r="C28" s="35" t="str">
        <f>IF('Cost Calculator'!$C$3="PV",I28,IF('Cost Calculator'!$C$3="PV + BESS",D28,H28))</f>
        <v>-</v>
      </c>
      <c r="D28" t="s">
        <v>62</v>
      </c>
      <c r="E28" t="s">
        <v>62</v>
      </c>
      <c r="F28" t="s">
        <v>62</v>
      </c>
      <c r="G28" s="32" t="s">
        <v>62</v>
      </c>
      <c r="H28" s="32" t="s">
        <v>62</v>
      </c>
      <c r="I28" s="32" t="s">
        <v>62</v>
      </c>
    </row>
    <row r="29" spans="1:9" x14ac:dyDescent="0.25">
      <c r="A29" t="s">
        <v>62</v>
      </c>
      <c r="B29" t="s">
        <v>62</v>
      </c>
      <c r="C29" s="35" t="str">
        <f>IF('Cost Calculator'!$C$3="PV",I29,IF('Cost Calculator'!$C$3="PV + BESS",D29,H29))</f>
        <v>-</v>
      </c>
      <c r="D29" t="s">
        <v>62</v>
      </c>
      <c r="E29" t="s">
        <v>62</v>
      </c>
      <c r="F29" t="s">
        <v>62</v>
      </c>
      <c r="G29" s="32" t="s">
        <v>62</v>
      </c>
      <c r="H29" s="32" t="s">
        <v>62</v>
      </c>
      <c r="I29" s="32" t="s">
        <v>62</v>
      </c>
    </row>
    <row r="30" spans="1:9" x14ac:dyDescent="0.25">
      <c r="A30" t="s">
        <v>62</v>
      </c>
      <c r="B30" t="s">
        <v>62</v>
      </c>
      <c r="C30" s="35" t="str">
        <f>IF('Cost Calculator'!$C$3="PV",I30,IF('Cost Calculator'!$C$3="PV + BESS",D30,H30))</f>
        <v>-</v>
      </c>
      <c r="D30" t="s">
        <v>62</v>
      </c>
      <c r="E30" t="s">
        <v>62</v>
      </c>
      <c r="F30" t="s">
        <v>62</v>
      </c>
      <c r="G30" s="32" t="s">
        <v>62</v>
      </c>
      <c r="H30" s="32" t="s">
        <v>62</v>
      </c>
      <c r="I30" s="32" t="s">
        <v>62</v>
      </c>
    </row>
    <row r="31" spans="1:9" x14ac:dyDescent="0.25">
      <c r="A31" t="s">
        <v>62</v>
      </c>
      <c r="B31" t="s">
        <v>62</v>
      </c>
      <c r="C31" s="35" t="str">
        <f>IF('Cost Calculator'!$C$3="PV",I31,IF('Cost Calculator'!$C$3="PV + BESS",D31,H31))</f>
        <v>-</v>
      </c>
      <c r="D31" t="s">
        <v>62</v>
      </c>
      <c r="E31" t="s">
        <v>62</v>
      </c>
      <c r="F31" t="s">
        <v>62</v>
      </c>
      <c r="G31" s="32" t="s">
        <v>62</v>
      </c>
      <c r="H31" s="32" t="s">
        <v>62</v>
      </c>
      <c r="I31" s="32" t="s">
        <v>62</v>
      </c>
    </row>
    <row r="32" spans="1:9" x14ac:dyDescent="0.25">
      <c r="A32" t="s">
        <v>62</v>
      </c>
      <c r="B32" t="s">
        <v>62</v>
      </c>
      <c r="C32" s="35" t="str">
        <f>IF('Cost Calculator'!$C$3="PV",I32,IF('Cost Calculator'!$C$3="PV + BESS",D32,H32))</f>
        <v>-</v>
      </c>
      <c r="D32" t="s">
        <v>62</v>
      </c>
      <c r="E32" t="s">
        <v>62</v>
      </c>
      <c r="F32" t="s">
        <v>62</v>
      </c>
      <c r="G32" s="32" t="s">
        <v>62</v>
      </c>
      <c r="H32" s="32" t="s">
        <v>62</v>
      </c>
      <c r="I32" s="32" t="s">
        <v>62</v>
      </c>
    </row>
    <row r="33" spans="1:9" x14ac:dyDescent="0.25">
      <c r="A33" t="s">
        <v>62</v>
      </c>
      <c r="B33" t="s">
        <v>62</v>
      </c>
      <c r="C33" s="35" t="str">
        <f>IF('Cost Calculator'!$C$3="PV",I33,IF('Cost Calculator'!$C$3="PV + BESS",D33,H33))</f>
        <v>-</v>
      </c>
      <c r="D33" t="s">
        <v>62</v>
      </c>
      <c r="E33" t="s">
        <v>62</v>
      </c>
      <c r="F33" t="s">
        <v>62</v>
      </c>
      <c r="G33" s="32" t="s">
        <v>62</v>
      </c>
      <c r="H33" s="32" t="s">
        <v>62</v>
      </c>
      <c r="I33" s="32" t="s">
        <v>62</v>
      </c>
    </row>
    <row r="34" spans="1:9" x14ac:dyDescent="0.25">
      <c r="A34" t="s">
        <v>62</v>
      </c>
      <c r="B34" t="s">
        <v>62</v>
      </c>
      <c r="C34" s="35" t="str">
        <f>IF('Cost Calculator'!$C$3="PV",I34,IF('Cost Calculator'!$C$3="PV + BESS",D34,H34))</f>
        <v>-</v>
      </c>
      <c r="D34" t="s">
        <v>62</v>
      </c>
      <c r="E34" t="s">
        <v>62</v>
      </c>
      <c r="F34" t="s">
        <v>62</v>
      </c>
      <c r="G34" s="32" t="s">
        <v>62</v>
      </c>
      <c r="H34" s="32" t="s">
        <v>62</v>
      </c>
      <c r="I34" s="32" t="s">
        <v>62</v>
      </c>
    </row>
    <row r="35" spans="1:9" x14ac:dyDescent="0.25">
      <c r="A35" t="s">
        <v>62</v>
      </c>
      <c r="B35" t="s">
        <v>62</v>
      </c>
      <c r="C35" s="35" t="str">
        <f>IF('Cost Calculator'!$C$3="PV",I35,IF('Cost Calculator'!$C$3="PV + BESS",D35,H35))</f>
        <v>-</v>
      </c>
      <c r="D35" t="s">
        <v>62</v>
      </c>
      <c r="E35" t="s">
        <v>62</v>
      </c>
      <c r="F35" t="s">
        <v>62</v>
      </c>
      <c r="G35" s="32" t="s">
        <v>62</v>
      </c>
      <c r="H35" s="32" t="s">
        <v>62</v>
      </c>
      <c r="I35" s="32" t="s">
        <v>62</v>
      </c>
    </row>
    <row r="36" spans="1:9" x14ac:dyDescent="0.25">
      <c r="A36" t="s">
        <v>62</v>
      </c>
      <c r="B36" t="s">
        <v>62</v>
      </c>
      <c r="C36" s="35" t="str">
        <f>IF('Cost Calculator'!$C$3="PV",I36,IF('Cost Calculator'!$C$3="PV + BESS",D36,H36))</f>
        <v>-</v>
      </c>
      <c r="D36" t="s">
        <v>62</v>
      </c>
      <c r="E36" t="s">
        <v>62</v>
      </c>
      <c r="F36" t="s">
        <v>62</v>
      </c>
      <c r="G36" s="32" t="s">
        <v>62</v>
      </c>
      <c r="H36" s="32" t="s">
        <v>62</v>
      </c>
      <c r="I36" s="32" t="s">
        <v>62</v>
      </c>
    </row>
    <row r="37" spans="1:9" x14ac:dyDescent="0.25">
      <c r="A37" t="s">
        <v>62</v>
      </c>
      <c r="B37" t="s">
        <v>62</v>
      </c>
      <c r="C37" s="35" t="str">
        <f>IF('Cost Calculator'!$C$3="PV",I37,IF('Cost Calculator'!$C$3="PV + BESS",D37,H37))</f>
        <v>-</v>
      </c>
      <c r="D37" t="s">
        <v>62</v>
      </c>
      <c r="E37" t="s">
        <v>62</v>
      </c>
      <c r="F37" t="s">
        <v>62</v>
      </c>
      <c r="G37" s="32" t="s">
        <v>62</v>
      </c>
      <c r="H37" s="32" t="s">
        <v>62</v>
      </c>
      <c r="I37" s="32" t="s">
        <v>62</v>
      </c>
    </row>
    <row r="38" spans="1:9" x14ac:dyDescent="0.25">
      <c r="A38" t="s">
        <v>62</v>
      </c>
      <c r="B38" t="s">
        <v>62</v>
      </c>
      <c r="C38" s="35" t="str">
        <f>IF('Cost Calculator'!$C$3="PV",I38,IF('Cost Calculator'!$C$3="PV + BESS",D38,H38))</f>
        <v>-</v>
      </c>
      <c r="D38" t="s">
        <v>62</v>
      </c>
      <c r="E38" t="s">
        <v>62</v>
      </c>
      <c r="F38" t="s">
        <v>62</v>
      </c>
      <c r="G38" s="32" t="s">
        <v>62</v>
      </c>
      <c r="H38" s="32" t="s">
        <v>62</v>
      </c>
      <c r="I38" s="32" t="s">
        <v>62</v>
      </c>
    </row>
    <row r="39" spans="1:9" x14ac:dyDescent="0.25">
      <c r="A39" t="s">
        <v>62</v>
      </c>
      <c r="B39" t="s">
        <v>62</v>
      </c>
      <c r="C39" s="35" t="str">
        <f>IF('Cost Calculator'!$C$3="PV",I39,IF('Cost Calculator'!$C$3="PV + BESS",D39,H39))</f>
        <v>-</v>
      </c>
      <c r="D39" t="s">
        <v>62</v>
      </c>
      <c r="E39" t="s">
        <v>62</v>
      </c>
      <c r="F39" t="s">
        <v>62</v>
      </c>
      <c r="G39" s="32" t="s">
        <v>62</v>
      </c>
      <c r="H39" s="32" t="s">
        <v>62</v>
      </c>
      <c r="I39" s="32" t="s">
        <v>62</v>
      </c>
    </row>
    <row r="40" spans="1:9" x14ac:dyDescent="0.25">
      <c r="A40" t="s">
        <v>62</v>
      </c>
      <c r="B40" t="s">
        <v>62</v>
      </c>
      <c r="C40" s="35" t="str">
        <f>IF('Cost Calculator'!$C$3="PV",I40,IF('Cost Calculator'!$C$3="PV + BESS",D40,H40))</f>
        <v>-</v>
      </c>
      <c r="D40" t="s">
        <v>62</v>
      </c>
      <c r="E40" t="s">
        <v>62</v>
      </c>
      <c r="F40" t="s">
        <v>62</v>
      </c>
      <c r="G40" s="32" t="s">
        <v>62</v>
      </c>
      <c r="H40" s="32" t="s">
        <v>62</v>
      </c>
      <c r="I40" s="32" t="s">
        <v>62</v>
      </c>
    </row>
    <row r="41" spans="1:9" x14ac:dyDescent="0.25">
      <c r="A41" t="s">
        <v>62</v>
      </c>
      <c r="B41" t="s">
        <v>62</v>
      </c>
      <c r="C41" s="35" t="str">
        <f>IF('Cost Calculator'!$C$3="PV",I41,IF('Cost Calculator'!$C$3="PV + BESS",D41,H41))</f>
        <v>-</v>
      </c>
      <c r="D41" t="s">
        <v>62</v>
      </c>
      <c r="E41" t="s">
        <v>62</v>
      </c>
      <c r="F41" t="s">
        <v>62</v>
      </c>
      <c r="G41" s="32" t="s">
        <v>62</v>
      </c>
      <c r="H41" s="32" t="s">
        <v>62</v>
      </c>
      <c r="I41" s="32" t="s">
        <v>62</v>
      </c>
    </row>
    <row r="42" spans="1:9" x14ac:dyDescent="0.25">
      <c r="A42" t="s">
        <v>62</v>
      </c>
      <c r="B42" t="s">
        <v>62</v>
      </c>
      <c r="C42" s="35" t="str">
        <f>IF('Cost Calculator'!$C$3="PV",I42,IF('Cost Calculator'!$C$3="PV + BESS",D42,H42))</f>
        <v>-</v>
      </c>
      <c r="D42" t="s">
        <v>62</v>
      </c>
      <c r="E42" t="s">
        <v>62</v>
      </c>
      <c r="F42" t="s">
        <v>62</v>
      </c>
      <c r="G42" s="32" t="s">
        <v>62</v>
      </c>
      <c r="H42" s="32" t="s">
        <v>62</v>
      </c>
      <c r="I42" s="32" t="s">
        <v>62</v>
      </c>
    </row>
    <row r="43" spans="1:9" x14ac:dyDescent="0.25">
      <c r="A43" t="s">
        <v>62</v>
      </c>
      <c r="B43" t="s">
        <v>62</v>
      </c>
      <c r="C43" s="35" t="str">
        <f>IF('Cost Calculator'!$C$3="PV",I43,IF('Cost Calculator'!$C$3="PV + BESS",D43,H43))</f>
        <v>-</v>
      </c>
      <c r="D43" t="s">
        <v>62</v>
      </c>
      <c r="E43" t="s">
        <v>62</v>
      </c>
      <c r="F43" t="s">
        <v>62</v>
      </c>
      <c r="G43" s="32" t="s">
        <v>62</v>
      </c>
      <c r="H43" s="32" t="s">
        <v>62</v>
      </c>
      <c r="I43" s="32" t="s">
        <v>62</v>
      </c>
    </row>
    <row r="44" spans="1:9" x14ac:dyDescent="0.25">
      <c r="A44" t="s">
        <v>62</v>
      </c>
      <c r="B44" t="s">
        <v>62</v>
      </c>
      <c r="C44" s="35" t="str">
        <f>IF('Cost Calculator'!$C$3="PV",I44,IF('Cost Calculator'!$C$3="PV + BESS",D44,H44))</f>
        <v>-</v>
      </c>
      <c r="D44" t="s">
        <v>62</v>
      </c>
      <c r="E44" t="s">
        <v>62</v>
      </c>
      <c r="F44" t="s">
        <v>62</v>
      </c>
      <c r="G44" s="32" t="s">
        <v>62</v>
      </c>
      <c r="H44" s="32" t="s">
        <v>62</v>
      </c>
      <c r="I44" s="32" t="s">
        <v>62</v>
      </c>
    </row>
    <row r="45" spans="1:9" x14ac:dyDescent="0.25">
      <c r="A45" t="s">
        <v>62</v>
      </c>
      <c r="B45" t="s">
        <v>62</v>
      </c>
      <c r="C45" s="35" t="str">
        <f>IF('Cost Calculator'!$C$3="PV",I45,IF('Cost Calculator'!$C$3="PV + BESS",D45,H45))</f>
        <v>-</v>
      </c>
      <c r="D45" t="s">
        <v>62</v>
      </c>
      <c r="E45" t="s">
        <v>62</v>
      </c>
      <c r="F45" t="s">
        <v>62</v>
      </c>
      <c r="G45" s="32" t="s">
        <v>62</v>
      </c>
      <c r="H45" s="32" t="s">
        <v>62</v>
      </c>
      <c r="I45" s="32" t="s">
        <v>62</v>
      </c>
    </row>
    <row r="46" spans="1:9" x14ac:dyDescent="0.25">
      <c r="A46" t="s">
        <v>62</v>
      </c>
      <c r="B46" t="s">
        <v>62</v>
      </c>
      <c r="C46" s="35" t="str">
        <f>IF('Cost Calculator'!$C$3="PV",I46,IF('Cost Calculator'!$C$3="PV + BESS",D46,H46))</f>
        <v>-</v>
      </c>
      <c r="D46" t="s">
        <v>62</v>
      </c>
      <c r="E46" t="s">
        <v>62</v>
      </c>
      <c r="F46" t="s">
        <v>62</v>
      </c>
      <c r="G46" s="32" t="s">
        <v>62</v>
      </c>
      <c r="H46" s="32" t="s">
        <v>62</v>
      </c>
      <c r="I46" s="32" t="s">
        <v>62</v>
      </c>
    </row>
    <row r="47" spans="1:9" x14ac:dyDescent="0.25">
      <c r="A47" t="s">
        <v>62</v>
      </c>
      <c r="B47" t="s">
        <v>62</v>
      </c>
      <c r="C47" s="35" t="str">
        <f>IF('Cost Calculator'!$C$3="PV",I47,IF('Cost Calculator'!$C$3="PV + BESS",D47,H47))</f>
        <v>-</v>
      </c>
      <c r="D47" t="s">
        <v>62</v>
      </c>
      <c r="E47" t="s">
        <v>62</v>
      </c>
      <c r="F47" t="s">
        <v>62</v>
      </c>
      <c r="G47" s="32" t="s">
        <v>62</v>
      </c>
      <c r="H47" s="32" t="s">
        <v>62</v>
      </c>
      <c r="I47" s="32" t="s">
        <v>62</v>
      </c>
    </row>
    <row r="48" spans="1:9" x14ac:dyDescent="0.25">
      <c r="A48" t="s">
        <v>62</v>
      </c>
      <c r="B48" t="s">
        <v>62</v>
      </c>
      <c r="C48" s="35" t="str">
        <f>IF('Cost Calculator'!$C$3="PV",I48,IF('Cost Calculator'!$C$3="PV + BESS",D48,H48))</f>
        <v>-</v>
      </c>
      <c r="D48" t="s">
        <v>62</v>
      </c>
      <c r="E48" t="s">
        <v>62</v>
      </c>
      <c r="F48" t="s">
        <v>62</v>
      </c>
      <c r="G48" s="32" t="s">
        <v>62</v>
      </c>
      <c r="H48" s="32" t="s">
        <v>62</v>
      </c>
      <c r="I48" s="32" t="s">
        <v>62</v>
      </c>
    </row>
    <row r="49" spans="1:9" x14ac:dyDescent="0.25">
      <c r="A49" t="s">
        <v>62</v>
      </c>
      <c r="B49" t="s">
        <v>62</v>
      </c>
      <c r="C49" s="35" t="str">
        <f>IF('Cost Calculator'!$C$3="PV",I49,IF('Cost Calculator'!$C$3="PV + BESS",D49,H49))</f>
        <v>-</v>
      </c>
      <c r="D49" t="s">
        <v>62</v>
      </c>
      <c r="E49" t="s">
        <v>62</v>
      </c>
      <c r="F49" t="s">
        <v>62</v>
      </c>
      <c r="G49" s="32" t="s">
        <v>62</v>
      </c>
      <c r="H49" s="32" t="s">
        <v>62</v>
      </c>
      <c r="I49" s="32" t="s">
        <v>62</v>
      </c>
    </row>
    <row r="50" spans="1:9" x14ac:dyDescent="0.25">
      <c r="A50" t="s">
        <v>62</v>
      </c>
      <c r="B50" t="s">
        <v>62</v>
      </c>
      <c r="C50" s="35" t="str">
        <f>IF('Cost Calculator'!$C$3="PV",I50,IF('Cost Calculator'!$C$3="PV + BESS",D50,H50))</f>
        <v>-</v>
      </c>
      <c r="D50" t="s">
        <v>62</v>
      </c>
      <c r="E50" t="s">
        <v>62</v>
      </c>
      <c r="F50" t="s">
        <v>62</v>
      </c>
      <c r="G50" s="32" t="s">
        <v>62</v>
      </c>
      <c r="H50" s="32" t="s">
        <v>62</v>
      </c>
      <c r="I50" s="32" t="s">
        <v>62</v>
      </c>
    </row>
    <row r="51" spans="1:9" x14ac:dyDescent="0.25">
      <c r="A51" t="s">
        <v>62</v>
      </c>
      <c r="B51" t="s">
        <v>62</v>
      </c>
      <c r="C51" s="35" t="str">
        <f>IF('Cost Calculator'!$C$3="PV",I51,IF('Cost Calculator'!$C$3="PV + BESS",D51,H51))</f>
        <v>-</v>
      </c>
      <c r="D51" t="s">
        <v>62</v>
      </c>
      <c r="E51" t="s">
        <v>62</v>
      </c>
      <c r="F51" t="s">
        <v>62</v>
      </c>
      <c r="G51" s="32" t="s">
        <v>62</v>
      </c>
      <c r="H51" s="32" t="s">
        <v>62</v>
      </c>
      <c r="I51" s="32" t="s">
        <v>62</v>
      </c>
    </row>
    <row r="52" spans="1:9" x14ac:dyDescent="0.25">
      <c r="A52" t="s">
        <v>62</v>
      </c>
      <c r="B52" t="s">
        <v>62</v>
      </c>
      <c r="C52" s="35" t="str">
        <f>IF('Cost Calculator'!$C$3="PV",I52,IF('Cost Calculator'!$C$3="PV + BESS",D52,H52))</f>
        <v>-</v>
      </c>
      <c r="D52" t="s">
        <v>62</v>
      </c>
      <c r="E52" t="s">
        <v>62</v>
      </c>
      <c r="F52" t="s">
        <v>62</v>
      </c>
      <c r="G52" s="32" t="s">
        <v>62</v>
      </c>
      <c r="H52" s="32" t="s">
        <v>62</v>
      </c>
      <c r="I52" s="32" t="s">
        <v>62</v>
      </c>
    </row>
    <row r="53" spans="1:9" x14ac:dyDescent="0.25">
      <c r="A53" t="s">
        <v>62</v>
      </c>
      <c r="B53" t="s">
        <v>62</v>
      </c>
      <c r="C53" s="35" t="str">
        <f>IF('Cost Calculator'!$C$3="PV",I53,IF('Cost Calculator'!$C$3="PV + BESS",D53,H53))</f>
        <v>-</v>
      </c>
      <c r="D53" t="s">
        <v>62</v>
      </c>
      <c r="E53" t="s">
        <v>62</v>
      </c>
      <c r="F53" t="s">
        <v>62</v>
      </c>
      <c r="G53" s="32" t="s">
        <v>62</v>
      </c>
      <c r="H53" s="32" t="s">
        <v>62</v>
      </c>
      <c r="I53" s="32" t="s">
        <v>62</v>
      </c>
    </row>
    <row r="54" spans="1:9" x14ac:dyDescent="0.25">
      <c r="A54" t="s">
        <v>62</v>
      </c>
      <c r="B54" t="s">
        <v>62</v>
      </c>
      <c r="C54" s="35" t="str">
        <f>IF('Cost Calculator'!$C$3="PV",I54,IF('Cost Calculator'!$C$3="PV + BESS",D54,H54))</f>
        <v>-</v>
      </c>
      <c r="D54" t="s">
        <v>62</v>
      </c>
      <c r="E54" t="s">
        <v>62</v>
      </c>
      <c r="F54" t="s">
        <v>62</v>
      </c>
      <c r="G54" s="32" t="s">
        <v>62</v>
      </c>
      <c r="H54" s="32" t="s">
        <v>62</v>
      </c>
      <c r="I54" s="32" t="s">
        <v>62</v>
      </c>
    </row>
    <row r="55" spans="1:9" x14ac:dyDescent="0.25">
      <c r="A55" t="s">
        <v>62</v>
      </c>
      <c r="B55" t="s">
        <v>62</v>
      </c>
      <c r="C55" s="35" t="str">
        <f>IF('Cost Calculator'!$C$3="PV",I55,IF('Cost Calculator'!$C$3="PV + BESS",D55,H55))</f>
        <v>-</v>
      </c>
      <c r="D55" t="s">
        <v>62</v>
      </c>
      <c r="E55" t="s">
        <v>62</v>
      </c>
      <c r="F55" t="s">
        <v>62</v>
      </c>
      <c r="G55" s="32" t="s">
        <v>62</v>
      </c>
      <c r="H55" s="32" t="s">
        <v>62</v>
      </c>
      <c r="I55" s="32" t="s">
        <v>62</v>
      </c>
    </row>
    <row r="56" spans="1:9" x14ac:dyDescent="0.25">
      <c r="A56" t="s">
        <v>62</v>
      </c>
      <c r="B56" t="s">
        <v>62</v>
      </c>
      <c r="C56" s="35" t="str">
        <f>IF('Cost Calculator'!$C$3="PV",I56,IF('Cost Calculator'!$C$3="PV + BESS",D56,H56))</f>
        <v>-</v>
      </c>
      <c r="D56" t="s">
        <v>62</v>
      </c>
      <c r="E56" t="s">
        <v>62</v>
      </c>
      <c r="F56" t="s">
        <v>62</v>
      </c>
      <c r="G56" s="32" t="s">
        <v>62</v>
      </c>
      <c r="H56" s="32" t="s">
        <v>62</v>
      </c>
      <c r="I56" s="32" t="s">
        <v>62</v>
      </c>
    </row>
    <row r="57" spans="1:9" x14ac:dyDescent="0.25">
      <c r="A57" t="s">
        <v>62</v>
      </c>
      <c r="B57" t="s">
        <v>62</v>
      </c>
      <c r="C57" s="35" t="str">
        <f>IF('Cost Calculator'!$C$3="PV",I57,IF('Cost Calculator'!$C$3="PV + BESS",D57,H57))</f>
        <v>-</v>
      </c>
      <c r="D57" t="s">
        <v>62</v>
      </c>
      <c r="E57" t="s">
        <v>62</v>
      </c>
      <c r="F57" t="s">
        <v>62</v>
      </c>
      <c r="G57" s="32" t="s">
        <v>62</v>
      </c>
      <c r="H57" s="32" t="s">
        <v>62</v>
      </c>
      <c r="I57" s="32" t="s">
        <v>62</v>
      </c>
    </row>
    <row r="58" spans="1:9" x14ac:dyDescent="0.25">
      <c r="A58" t="s">
        <v>62</v>
      </c>
      <c r="B58" t="s">
        <v>62</v>
      </c>
      <c r="C58" s="35" t="str">
        <f>IF('Cost Calculator'!$C$3="PV",I58,IF('Cost Calculator'!$C$3="PV + BESS",D58,H58))</f>
        <v>-</v>
      </c>
      <c r="D58" t="s">
        <v>62</v>
      </c>
      <c r="E58" t="s">
        <v>62</v>
      </c>
      <c r="F58" t="s">
        <v>62</v>
      </c>
      <c r="G58" s="32" t="s">
        <v>62</v>
      </c>
      <c r="H58" s="32" t="s">
        <v>62</v>
      </c>
      <c r="I58" s="32" t="s">
        <v>62</v>
      </c>
    </row>
    <row r="59" spans="1:9" x14ac:dyDescent="0.25">
      <c r="A59" t="s">
        <v>62</v>
      </c>
      <c r="B59" t="s">
        <v>62</v>
      </c>
      <c r="C59" s="35" t="str">
        <f>IF('Cost Calculator'!$C$3="PV",I59,IF('Cost Calculator'!$C$3="PV + BESS",D59,H59))</f>
        <v>-</v>
      </c>
      <c r="D59" t="s">
        <v>62</v>
      </c>
      <c r="E59" t="s">
        <v>62</v>
      </c>
      <c r="F59" t="s">
        <v>62</v>
      </c>
      <c r="G59" s="32" t="s">
        <v>62</v>
      </c>
      <c r="H59" s="32" t="s">
        <v>62</v>
      </c>
      <c r="I59" s="32" t="s">
        <v>62</v>
      </c>
    </row>
    <row r="60" spans="1:9" x14ac:dyDescent="0.25">
      <c r="A60" t="s">
        <v>62</v>
      </c>
      <c r="B60" t="s">
        <v>62</v>
      </c>
      <c r="C60" s="35" t="str">
        <f>IF('Cost Calculator'!$C$3="PV",I60,IF('Cost Calculator'!$C$3="PV + BESS",D60,H60))</f>
        <v>-</v>
      </c>
      <c r="D60" t="s">
        <v>62</v>
      </c>
      <c r="E60" t="s">
        <v>62</v>
      </c>
      <c r="F60" t="s">
        <v>62</v>
      </c>
      <c r="G60" s="32" t="s">
        <v>62</v>
      </c>
      <c r="H60" s="32" t="s">
        <v>62</v>
      </c>
      <c r="I60" s="32" t="s">
        <v>62</v>
      </c>
    </row>
    <row r="61" spans="1:9" x14ac:dyDescent="0.25">
      <c r="A61" t="s">
        <v>62</v>
      </c>
      <c r="B61" t="s">
        <v>62</v>
      </c>
      <c r="C61" s="35" t="str">
        <f>IF('Cost Calculator'!$C$3="PV",I61,IF('Cost Calculator'!$C$3="PV + BESS",D61,H61))</f>
        <v>-</v>
      </c>
      <c r="D61" t="s">
        <v>62</v>
      </c>
      <c r="E61" t="s">
        <v>62</v>
      </c>
      <c r="F61" t="s">
        <v>62</v>
      </c>
      <c r="G61" s="32" t="s">
        <v>62</v>
      </c>
      <c r="H61" s="32" t="s">
        <v>62</v>
      </c>
      <c r="I61" s="32" t="s">
        <v>62</v>
      </c>
    </row>
    <row r="62" spans="1:9" x14ac:dyDescent="0.25">
      <c r="A62" t="s">
        <v>62</v>
      </c>
      <c r="B62" t="s">
        <v>62</v>
      </c>
      <c r="C62" s="35" t="str">
        <f>IF('Cost Calculator'!$C$3="PV",I62,IF('Cost Calculator'!$C$3="PV + BESS",D62,H62))</f>
        <v>-</v>
      </c>
      <c r="D62" t="s">
        <v>62</v>
      </c>
      <c r="E62" t="s">
        <v>62</v>
      </c>
      <c r="F62" t="s">
        <v>62</v>
      </c>
      <c r="G62" s="32" t="s">
        <v>62</v>
      </c>
      <c r="H62" s="32" t="s">
        <v>62</v>
      </c>
      <c r="I62" s="32" t="s">
        <v>62</v>
      </c>
    </row>
    <row r="63" spans="1:9" x14ac:dyDescent="0.25">
      <c r="A63" t="s">
        <v>62</v>
      </c>
      <c r="B63" t="s">
        <v>62</v>
      </c>
      <c r="C63" s="35" t="str">
        <f>IF('Cost Calculator'!$C$3="PV",I63,IF('Cost Calculator'!$C$3="PV + BESS",D63,H63))</f>
        <v>-</v>
      </c>
      <c r="D63" t="s">
        <v>62</v>
      </c>
      <c r="E63" t="s">
        <v>62</v>
      </c>
      <c r="F63" t="s">
        <v>62</v>
      </c>
      <c r="G63" s="32" t="s">
        <v>62</v>
      </c>
      <c r="H63" s="32" t="s">
        <v>62</v>
      </c>
      <c r="I63" s="32" t="s">
        <v>62</v>
      </c>
    </row>
    <row r="64" spans="1:9" x14ac:dyDescent="0.25">
      <c r="A64" t="s">
        <v>62</v>
      </c>
      <c r="B64" t="s">
        <v>62</v>
      </c>
      <c r="C64" s="35" t="str">
        <f>IF('Cost Calculator'!$C$3="PV",I64,IF('Cost Calculator'!$C$3="PV + BESS",D64,H64))</f>
        <v>-</v>
      </c>
      <c r="D64" t="s">
        <v>62</v>
      </c>
      <c r="E64" t="s">
        <v>62</v>
      </c>
      <c r="F64" t="s">
        <v>62</v>
      </c>
      <c r="G64" s="32" t="s">
        <v>62</v>
      </c>
      <c r="H64" s="32" t="s">
        <v>62</v>
      </c>
      <c r="I64" s="32" t="s">
        <v>62</v>
      </c>
    </row>
    <row r="65" spans="1:9" x14ac:dyDescent="0.25">
      <c r="A65" t="s">
        <v>62</v>
      </c>
      <c r="B65" t="s">
        <v>62</v>
      </c>
      <c r="C65" s="35" t="str">
        <f>IF('Cost Calculator'!$C$3="PV",I65,IF('Cost Calculator'!$C$3="PV + BESS",D65,H65))</f>
        <v>-</v>
      </c>
      <c r="D65" t="s">
        <v>62</v>
      </c>
      <c r="E65" t="s">
        <v>62</v>
      </c>
      <c r="F65" t="s">
        <v>62</v>
      </c>
      <c r="G65" s="32" t="s">
        <v>62</v>
      </c>
      <c r="H65" s="32" t="s">
        <v>62</v>
      </c>
      <c r="I65" s="32" t="s">
        <v>62</v>
      </c>
    </row>
    <row r="66" spans="1:9" x14ac:dyDescent="0.25">
      <c r="A66" t="s">
        <v>62</v>
      </c>
      <c r="B66" t="s">
        <v>62</v>
      </c>
      <c r="C66" s="35" t="str">
        <f>IF('Cost Calculator'!$C$3="PV",I66,IF('Cost Calculator'!$C$3="PV + BESS",D66,H66))</f>
        <v>-</v>
      </c>
      <c r="D66" t="s">
        <v>62</v>
      </c>
      <c r="E66" t="s">
        <v>62</v>
      </c>
      <c r="F66" t="s">
        <v>62</v>
      </c>
      <c r="G66" s="32" t="s">
        <v>62</v>
      </c>
      <c r="H66" s="32" t="s">
        <v>62</v>
      </c>
      <c r="I66" s="32" t="s">
        <v>62</v>
      </c>
    </row>
    <row r="67" spans="1:9" x14ac:dyDescent="0.25">
      <c r="A67" t="s">
        <v>62</v>
      </c>
      <c r="B67" t="s">
        <v>62</v>
      </c>
      <c r="C67" s="35" t="str">
        <f>IF('Cost Calculator'!$C$3="PV",I67,IF('Cost Calculator'!$C$3="PV + BESS",D67,H67))</f>
        <v>-</v>
      </c>
      <c r="D67" t="s">
        <v>62</v>
      </c>
      <c r="E67" t="s">
        <v>62</v>
      </c>
      <c r="F67" t="s">
        <v>62</v>
      </c>
      <c r="G67" s="32" t="s">
        <v>62</v>
      </c>
      <c r="H67" s="32" t="s">
        <v>62</v>
      </c>
      <c r="I67" s="32" t="s">
        <v>62</v>
      </c>
    </row>
    <row r="68" spans="1:9" x14ac:dyDescent="0.25">
      <c r="A68" t="s">
        <v>62</v>
      </c>
      <c r="B68" t="s">
        <v>62</v>
      </c>
      <c r="C68" s="35" t="str">
        <f>IF('Cost Calculator'!$C$3="PV",I68,IF('Cost Calculator'!$C$3="PV + BESS",D68,H68))</f>
        <v>-</v>
      </c>
      <c r="D68" t="s">
        <v>62</v>
      </c>
      <c r="E68" t="s">
        <v>62</v>
      </c>
      <c r="F68" t="s">
        <v>62</v>
      </c>
      <c r="G68" s="32" t="s">
        <v>62</v>
      </c>
      <c r="H68" s="32" t="s">
        <v>62</v>
      </c>
      <c r="I68" s="32" t="s">
        <v>62</v>
      </c>
    </row>
    <row r="69" spans="1:9" x14ac:dyDescent="0.25">
      <c r="A69" t="s">
        <v>62</v>
      </c>
      <c r="B69" t="s">
        <v>62</v>
      </c>
      <c r="C69" s="35" t="str">
        <f>IF('Cost Calculator'!$C$3="PV",I69,IF('Cost Calculator'!$C$3="PV + BESS",D69,H69))</f>
        <v>-</v>
      </c>
      <c r="D69" t="s">
        <v>62</v>
      </c>
      <c r="E69" t="s">
        <v>62</v>
      </c>
      <c r="F69" t="s">
        <v>62</v>
      </c>
      <c r="G69" s="32" t="s">
        <v>62</v>
      </c>
      <c r="H69" s="32" t="s">
        <v>62</v>
      </c>
      <c r="I69" s="32" t="s">
        <v>62</v>
      </c>
    </row>
    <row r="70" spans="1:9" x14ac:dyDescent="0.25">
      <c r="A70" t="s">
        <v>62</v>
      </c>
      <c r="B70" t="s">
        <v>62</v>
      </c>
      <c r="C70" s="35" t="str">
        <f>IF('Cost Calculator'!$C$3="PV",I70,IF('Cost Calculator'!$C$3="PV + BESS",D70,H70))</f>
        <v>-</v>
      </c>
      <c r="D70" t="s">
        <v>62</v>
      </c>
      <c r="E70" t="s">
        <v>62</v>
      </c>
      <c r="F70" t="s">
        <v>62</v>
      </c>
      <c r="G70" s="32" t="s">
        <v>62</v>
      </c>
      <c r="H70" s="32" t="s">
        <v>62</v>
      </c>
      <c r="I70" s="32" t="s">
        <v>62</v>
      </c>
    </row>
    <row r="71" spans="1:9" x14ac:dyDescent="0.25">
      <c r="A71" t="s">
        <v>62</v>
      </c>
      <c r="B71" t="s">
        <v>62</v>
      </c>
      <c r="C71" s="35" t="str">
        <f>IF('Cost Calculator'!$C$3="PV",I71,IF('Cost Calculator'!$C$3="PV + BESS",D71,H71))</f>
        <v>-</v>
      </c>
      <c r="D71" t="s">
        <v>62</v>
      </c>
      <c r="E71" t="s">
        <v>62</v>
      </c>
      <c r="F71" t="s">
        <v>62</v>
      </c>
      <c r="G71" s="32" t="s">
        <v>62</v>
      </c>
      <c r="H71" s="32" t="s">
        <v>62</v>
      </c>
      <c r="I71" s="32" t="s">
        <v>62</v>
      </c>
    </row>
    <row r="72" spans="1:9" x14ac:dyDescent="0.25">
      <c r="A72" t="s">
        <v>62</v>
      </c>
      <c r="B72" t="s">
        <v>62</v>
      </c>
      <c r="C72" s="35" t="str">
        <f>IF('Cost Calculator'!$C$3="PV",I72,IF('Cost Calculator'!$C$3="PV + BESS",D72,H72))</f>
        <v>-</v>
      </c>
      <c r="D72" t="s">
        <v>62</v>
      </c>
      <c r="E72" t="s">
        <v>62</v>
      </c>
      <c r="F72" t="s">
        <v>62</v>
      </c>
      <c r="G72" s="32" t="s">
        <v>62</v>
      </c>
      <c r="H72" s="32" t="s">
        <v>62</v>
      </c>
      <c r="I72" s="32" t="s">
        <v>62</v>
      </c>
    </row>
    <row r="73" spans="1:9" x14ac:dyDescent="0.25">
      <c r="A73" t="s">
        <v>62</v>
      </c>
      <c r="B73" t="s">
        <v>62</v>
      </c>
      <c r="C73" s="35" t="str">
        <f>IF('Cost Calculator'!$C$3="PV",I73,IF('Cost Calculator'!$C$3="PV + BESS",D73,H73))</f>
        <v>-</v>
      </c>
      <c r="D73" t="s">
        <v>62</v>
      </c>
      <c r="E73" t="s">
        <v>62</v>
      </c>
      <c r="F73" t="s">
        <v>62</v>
      </c>
      <c r="G73" s="32" t="s">
        <v>62</v>
      </c>
      <c r="H73" s="32" t="s">
        <v>62</v>
      </c>
      <c r="I73" s="32" t="s">
        <v>62</v>
      </c>
    </row>
    <row r="74" spans="1:9" x14ac:dyDescent="0.25">
      <c r="A74" t="s">
        <v>62</v>
      </c>
      <c r="B74" t="s">
        <v>62</v>
      </c>
      <c r="C74" s="35" t="str">
        <f>IF('Cost Calculator'!$C$3="PV",I74,IF('Cost Calculator'!$C$3="PV + BESS",D74,H74))</f>
        <v>-</v>
      </c>
      <c r="D74" t="s">
        <v>62</v>
      </c>
      <c r="E74" t="s">
        <v>62</v>
      </c>
      <c r="F74" t="s">
        <v>62</v>
      </c>
      <c r="G74" s="32" t="s">
        <v>62</v>
      </c>
      <c r="H74" s="32" t="s">
        <v>62</v>
      </c>
      <c r="I74" s="32" t="s">
        <v>62</v>
      </c>
    </row>
    <row r="75" spans="1:9" x14ac:dyDescent="0.25">
      <c r="A75" t="s">
        <v>62</v>
      </c>
      <c r="B75" t="s">
        <v>62</v>
      </c>
      <c r="C75" s="35" t="str">
        <f>IF('Cost Calculator'!$C$3="PV",I75,IF('Cost Calculator'!$C$3="PV + BESS",D75,H75))</f>
        <v>-</v>
      </c>
      <c r="D75" t="s">
        <v>62</v>
      </c>
      <c r="E75" t="s">
        <v>62</v>
      </c>
      <c r="F75" t="s">
        <v>62</v>
      </c>
      <c r="G75" s="32" t="s">
        <v>62</v>
      </c>
      <c r="H75" s="32" t="s">
        <v>62</v>
      </c>
      <c r="I75" s="32" t="s">
        <v>62</v>
      </c>
    </row>
    <row r="76" spans="1:9" x14ac:dyDescent="0.25">
      <c r="A76" t="s">
        <v>62</v>
      </c>
      <c r="B76" t="s">
        <v>62</v>
      </c>
      <c r="C76" s="35" t="str">
        <f>IF('Cost Calculator'!$C$3="PV",I76,IF('Cost Calculator'!$C$3="PV + BESS",D76,H76))</f>
        <v>-</v>
      </c>
      <c r="D76" t="s">
        <v>62</v>
      </c>
      <c r="E76" t="s">
        <v>62</v>
      </c>
      <c r="F76" t="s">
        <v>62</v>
      </c>
      <c r="G76" s="32" t="s">
        <v>62</v>
      </c>
      <c r="H76" s="32" t="s">
        <v>62</v>
      </c>
      <c r="I76" s="32" t="s">
        <v>62</v>
      </c>
    </row>
    <row r="77" spans="1:9" x14ac:dyDescent="0.25">
      <c r="A77" t="s">
        <v>62</v>
      </c>
      <c r="B77" t="s">
        <v>62</v>
      </c>
      <c r="C77" s="35" t="str">
        <f>IF('Cost Calculator'!$C$3="PV",I77,IF('Cost Calculator'!$C$3="PV + BESS",D77,H77))</f>
        <v>-</v>
      </c>
      <c r="D77" t="s">
        <v>62</v>
      </c>
      <c r="E77" t="s">
        <v>62</v>
      </c>
      <c r="F77" t="s">
        <v>62</v>
      </c>
      <c r="G77" s="32" t="s">
        <v>62</v>
      </c>
      <c r="H77" s="32" t="s">
        <v>62</v>
      </c>
      <c r="I77" s="32" t="s">
        <v>62</v>
      </c>
    </row>
    <row r="78" spans="1:9" x14ac:dyDescent="0.25">
      <c r="A78" t="s">
        <v>62</v>
      </c>
      <c r="B78" t="s">
        <v>62</v>
      </c>
      <c r="C78" s="35" t="str">
        <f>IF('Cost Calculator'!$C$3="PV",I78,IF('Cost Calculator'!$C$3="PV + BESS",D78,H78))</f>
        <v>-</v>
      </c>
      <c r="D78" t="s">
        <v>62</v>
      </c>
      <c r="E78" t="s">
        <v>62</v>
      </c>
      <c r="F78" t="s">
        <v>62</v>
      </c>
      <c r="G78" s="32" t="s">
        <v>62</v>
      </c>
      <c r="H78" s="32" t="s">
        <v>62</v>
      </c>
      <c r="I78" s="32" t="s">
        <v>62</v>
      </c>
    </row>
    <row r="79" spans="1:9" x14ac:dyDescent="0.25">
      <c r="A79" t="s">
        <v>62</v>
      </c>
      <c r="B79" t="s">
        <v>62</v>
      </c>
      <c r="C79" s="35" t="str">
        <f>IF('Cost Calculator'!$C$3="PV",I79,IF('Cost Calculator'!$C$3="PV + BESS",D79,H79))</f>
        <v>-</v>
      </c>
      <c r="D79" t="s">
        <v>62</v>
      </c>
      <c r="E79" t="s">
        <v>62</v>
      </c>
      <c r="F79" t="s">
        <v>62</v>
      </c>
      <c r="G79" s="32" t="s">
        <v>62</v>
      </c>
      <c r="H79" s="32" t="s">
        <v>62</v>
      </c>
      <c r="I79" s="32" t="s">
        <v>62</v>
      </c>
    </row>
    <row r="80" spans="1:9" x14ac:dyDescent="0.25">
      <c r="A80" t="s">
        <v>62</v>
      </c>
      <c r="B80" t="s">
        <v>62</v>
      </c>
      <c r="C80" s="35" t="str">
        <f>IF('Cost Calculator'!$C$3="PV",I80,IF('Cost Calculator'!$C$3="PV + BESS",D80,H80))</f>
        <v>-</v>
      </c>
      <c r="D80" t="s">
        <v>62</v>
      </c>
      <c r="E80" t="s">
        <v>62</v>
      </c>
      <c r="F80" t="s">
        <v>62</v>
      </c>
      <c r="G80" s="32" t="s">
        <v>62</v>
      </c>
      <c r="H80" s="32" t="s">
        <v>62</v>
      </c>
      <c r="I80" s="32" t="s">
        <v>62</v>
      </c>
    </row>
    <row r="81" spans="1:9" x14ac:dyDescent="0.25">
      <c r="A81" t="s">
        <v>62</v>
      </c>
      <c r="B81" t="s">
        <v>62</v>
      </c>
      <c r="C81" s="35" t="str">
        <f>IF('Cost Calculator'!$C$3="PV",I81,IF('Cost Calculator'!$C$3="PV + BESS",D81,H81))</f>
        <v>-</v>
      </c>
      <c r="D81" t="s">
        <v>62</v>
      </c>
      <c r="E81" t="s">
        <v>62</v>
      </c>
      <c r="F81" t="s">
        <v>62</v>
      </c>
      <c r="G81" s="32" t="s">
        <v>62</v>
      </c>
      <c r="H81" s="32" t="s">
        <v>62</v>
      </c>
      <c r="I81" s="32" t="s">
        <v>62</v>
      </c>
    </row>
    <row r="82" spans="1:9" x14ac:dyDescent="0.25">
      <c r="A82" t="s">
        <v>62</v>
      </c>
      <c r="B82" t="s">
        <v>62</v>
      </c>
      <c r="C82" s="35" t="str">
        <f>IF('Cost Calculator'!$C$3="PV",I82,IF('Cost Calculator'!$C$3="PV + BESS",D82,H82))</f>
        <v>-</v>
      </c>
      <c r="D82" t="s">
        <v>62</v>
      </c>
      <c r="E82" t="s">
        <v>62</v>
      </c>
      <c r="F82" t="s">
        <v>62</v>
      </c>
      <c r="G82" s="32" t="s">
        <v>62</v>
      </c>
      <c r="H82" s="32" t="s">
        <v>62</v>
      </c>
      <c r="I82" s="32" t="s">
        <v>62</v>
      </c>
    </row>
    <row r="83" spans="1:9" x14ac:dyDescent="0.25">
      <c r="A83" t="s">
        <v>62</v>
      </c>
      <c r="B83" t="s">
        <v>62</v>
      </c>
      <c r="C83" s="35" t="str">
        <f>IF('Cost Calculator'!$C$3="PV",I83,IF('Cost Calculator'!$C$3="PV + BESS",D83,H83))</f>
        <v>-</v>
      </c>
      <c r="D83" t="s">
        <v>62</v>
      </c>
      <c r="E83" t="s">
        <v>62</v>
      </c>
      <c r="F83" t="s">
        <v>62</v>
      </c>
      <c r="G83" s="32" t="s">
        <v>62</v>
      </c>
      <c r="H83" s="32" t="s">
        <v>62</v>
      </c>
      <c r="I83" s="32" t="s">
        <v>62</v>
      </c>
    </row>
    <row r="84" spans="1:9" x14ac:dyDescent="0.25">
      <c r="A84" t="s">
        <v>62</v>
      </c>
      <c r="B84" t="s">
        <v>62</v>
      </c>
      <c r="C84" s="35" t="str">
        <f>IF('Cost Calculator'!$C$3="PV",I84,IF('Cost Calculator'!$C$3="PV + BESS",D84,H84))</f>
        <v>-</v>
      </c>
      <c r="D84" t="s">
        <v>62</v>
      </c>
      <c r="E84" t="s">
        <v>62</v>
      </c>
      <c r="F84" t="s">
        <v>62</v>
      </c>
      <c r="G84" s="32" t="s">
        <v>62</v>
      </c>
      <c r="H84" s="32" t="s">
        <v>62</v>
      </c>
      <c r="I84" s="32" t="s">
        <v>62</v>
      </c>
    </row>
    <row r="85" spans="1:9" x14ac:dyDescent="0.25">
      <c r="A85" t="s">
        <v>62</v>
      </c>
      <c r="B85" t="s">
        <v>62</v>
      </c>
      <c r="C85" s="35" t="str">
        <f>IF('Cost Calculator'!$C$3="PV",I85,IF('Cost Calculator'!$C$3="PV + BESS",D85,H85))</f>
        <v>-</v>
      </c>
      <c r="D85" t="s">
        <v>62</v>
      </c>
      <c r="E85" t="s">
        <v>62</v>
      </c>
      <c r="F85" t="s">
        <v>62</v>
      </c>
      <c r="G85" s="32" t="s">
        <v>62</v>
      </c>
      <c r="H85" s="32" t="s">
        <v>62</v>
      </c>
      <c r="I85" s="32" t="s">
        <v>62</v>
      </c>
    </row>
    <row r="86" spans="1:9" x14ac:dyDescent="0.25">
      <c r="A86" t="s">
        <v>62</v>
      </c>
      <c r="B86" t="s">
        <v>62</v>
      </c>
      <c r="C86" s="35" t="str">
        <f>IF('Cost Calculator'!$C$3="PV",I86,IF('Cost Calculator'!$C$3="PV + BESS",D86,H86))</f>
        <v>-</v>
      </c>
      <c r="D86" t="s">
        <v>62</v>
      </c>
      <c r="E86" t="s">
        <v>62</v>
      </c>
      <c r="F86" t="s">
        <v>62</v>
      </c>
      <c r="G86" s="32" t="s">
        <v>62</v>
      </c>
      <c r="H86" s="32" t="s">
        <v>62</v>
      </c>
      <c r="I86" s="32" t="s">
        <v>62</v>
      </c>
    </row>
    <row r="87" spans="1:9" x14ac:dyDescent="0.25">
      <c r="A87" t="s">
        <v>62</v>
      </c>
      <c r="B87" t="s">
        <v>62</v>
      </c>
      <c r="C87" s="35" t="str">
        <f>IF('Cost Calculator'!$C$3="PV",I87,IF('Cost Calculator'!$C$3="PV + BESS",D87,H87))</f>
        <v>-</v>
      </c>
      <c r="D87" t="s">
        <v>62</v>
      </c>
      <c r="E87" t="s">
        <v>62</v>
      </c>
      <c r="F87" t="s">
        <v>62</v>
      </c>
      <c r="G87" s="32" t="s">
        <v>62</v>
      </c>
      <c r="H87" s="32" t="s">
        <v>62</v>
      </c>
      <c r="I87" s="32" t="s">
        <v>62</v>
      </c>
    </row>
    <row r="88" spans="1:9" x14ac:dyDescent="0.25">
      <c r="A88" t="s">
        <v>62</v>
      </c>
      <c r="B88" t="s">
        <v>62</v>
      </c>
      <c r="C88" s="35" t="str">
        <f>IF('Cost Calculator'!$C$3="PV",I88,IF('Cost Calculator'!$C$3="PV + BESS",D88,H88))</f>
        <v>-</v>
      </c>
      <c r="D88" t="s">
        <v>62</v>
      </c>
      <c r="E88" t="s">
        <v>62</v>
      </c>
      <c r="F88" t="s">
        <v>62</v>
      </c>
      <c r="G88" s="32" t="s">
        <v>62</v>
      </c>
      <c r="H88" s="32" t="s">
        <v>62</v>
      </c>
      <c r="I88" s="32" t="s">
        <v>62</v>
      </c>
    </row>
    <row r="89" spans="1:9" x14ac:dyDescent="0.25">
      <c r="A89" t="s">
        <v>62</v>
      </c>
      <c r="B89" t="s">
        <v>62</v>
      </c>
      <c r="C89" s="35" t="str">
        <f>IF('Cost Calculator'!$C$3="PV",I89,IF('Cost Calculator'!$C$3="PV + BESS",D89,H89))</f>
        <v>-</v>
      </c>
      <c r="D89" t="s">
        <v>62</v>
      </c>
      <c r="E89" t="s">
        <v>62</v>
      </c>
      <c r="F89" t="s">
        <v>62</v>
      </c>
      <c r="G89" s="32" t="s">
        <v>62</v>
      </c>
      <c r="H89" s="32" t="s">
        <v>62</v>
      </c>
      <c r="I89" s="32" t="s">
        <v>62</v>
      </c>
    </row>
    <row r="90" spans="1:9" x14ac:dyDescent="0.25">
      <c r="A90" t="s">
        <v>62</v>
      </c>
      <c r="B90" t="s">
        <v>62</v>
      </c>
      <c r="C90" s="35" t="str">
        <f>IF('Cost Calculator'!$C$3="PV",I90,IF('Cost Calculator'!$C$3="PV + BESS",D90,H90))</f>
        <v>-</v>
      </c>
      <c r="D90" t="s">
        <v>62</v>
      </c>
      <c r="E90" t="s">
        <v>62</v>
      </c>
      <c r="F90" t="s">
        <v>62</v>
      </c>
      <c r="G90" s="32" t="s">
        <v>62</v>
      </c>
      <c r="H90" s="32" t="s">
        <v>62</v>
      </c>
      <c r="I90" s="32" t="s">
        <v>62</v>
      </c>
    </row>
    <row r="91" spans="1:9" x14ac:dyDescent="0.25">
      <c r="A91" t="s">
        <v>62</v>
      </c>
      <c r="B91" t="s">
        <v>62</v>
      </c>
      <c r="C91" s="35" t="str">
        <f>IF('Cost Calculator'!$C$3="PV",I91,IF('Cost Calculator'!$C$3="PV + BESS",D91,H91))</f>
        <v>-</v>
      </c>
      <c r="D91" t="s">
        <v>62</v>
      </c>
      <c r="E91" t="s">
        <v>62</v>
      </c>
      <c r="F91" t="s">
        <v>62</v>
      </c>
      <c r="G91" s="32" t="s">
        <v>62</v>
      </c>
      <c r="H91" s="32" t="s">
        <v>62</v>
      </c>
      <c r="I91" s="32" t="s">
        <v>62</v>
      </c>
    </row>
    <row r="92" spans="1:9" x14ac:dyDescent="0.25">
      <c r="A92" t="s">
        <v>62</v>
      </c>
      <c r="B92" t="s">
        <v>62</v>
      </c>
      <c r="C92" s="35" t="str">
        <f>IF('Cost Calculator'!$C$3="PV",I92,IF('Cost Calculator'!$C$3="PV + BESS",D92,H92))</f>
        <v>-</v>
      </c>
      <c r="D92" t="s">
        <v>62</v>
      </c>
      <c r="E92" t="s">
        <v>62</v>
      </c>
      <c r="F92" t="s">
        <v>62</v>
      </c>
      <c r="G92" s="32" t="s">
        <v>62</v>
      </c>
      <c r="H92" s="32" t="s">
        <v>62</v>
      </c>
      <c r="I92" s="32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78"/>
  <sheetViews>
    <sheetView showGridLines="0" workbookViewId="0"/>
  </sheetViews>
  <sheetFormatPr defaultRowHeight="15" x14ac:dyDescent="0.25"/>
  <cols>
    <col min="2" max="2" width="50.42578125" customWidth="1"/>
    <col min="3" max="3" width="16.7109375" customWidth="1"/>
    <col min="4" max="4" width="18.7109375" customWidth="1"/>
    <col min="5" max="5" width="17" customWidth="1"/>
    <col min="6" max="6" width="16.42578125" style="3" customWidth="1"/>
    <col min="7" max="7" width="10.140625" customWidth="1"/>
    <col min="8" max="11" width="17.28515625" customWidth="1"/>
    <col min="12" max="12" width="12.5703125" customWidth="1"/>
  </cols>
  <sheetData>
    <row r="2" spans="1:11" ht="43.5" customHeight="1" x14ac:dyDescent="0.25">
      <c r="B2" s="26" t="s">
        <v>73</v>
      </c>
      <c r="C2" t="s">
        <v>74</v>
      </c>
      <c r="D2" t="s">
        <v>75</v>
      </c>
      <c r="E2" s="49" t="s">
        <v>76</v>
      </c>
      <c r="F2" s="49"/>
    </row>
    <row r="3" spans="1:11" x14ac:dyDescent="0.25">
      <c r="B3" s="26" t="s">
        <v>77</v>
      </c>
      <c r="C3">
        <f>AVERAGE(H8:H65)</f>
        <v>5.5693150727386147</v>
      </c>
      <c r="D3">
        <f>AVERAGE(I8:I65)</f>
        <v>8.1311259569814087</v>
      </c>
    </row>
    <row r="4" spans="1:11" x14ac:dyDescent="0.25">
      <c r="B4" s="26" t="s">
        <v>78</v>
      </c>
      <c r="C4">
        <f>IFERROR(AVERAGE(J8:J65),"")</f>
        <v>7.2786100000000005</v>
      </c>
      <c r="D4" t="str">
        <f>IFERROR(AVERAGE(K8:K65),"")</f>
        <v/>
      </c>
    </row>
    <row r="5" spans="1:11" x14ac:dyDescent="0.25">
      <c r="B5" s="26"/>
      <c r="E5" s="3"/>
      <c r="F5"/>
      <c r="H5" s="50" t="s">
        <v>79</v>
      </c>
      <c r="I5" s="50"/>
      <c r="J5" s="50" t="s">
        <v>27</v>
      </c>
      <c r="K5" s="50"/>
    </row>
    <row r="6" spans="1:11" x14ac:dyDescent="0.25">
      <c r="C6" t="s">
        <v>80</v>
      </c>
      <c r="D6" t="s">
        <v>81</v>
      </c>
      <c r="E6" s="3" t="s">
        <v>82</v>
      </c>
      <c r="F6" t="s">
        <v>83</v>
      </c>
      <c r="G6" t="s">
        <v>35</v>
      </c>
      <c r="H6" t="s">
        <v>84</v>
      </c>
      <c r="I6" t="s">
        <v>85</v>
      </c>
      <c r="J6" t="s">
        <v>84</v>
      </c>
      <c r="K6" t="s">
        <v>85</v>
      </c>
    </row>
    <row r="7" spans="1:11" x14ac:dyDescent="0.25">
      <c r="E7" s="3"/>
      <c r="F7"/>
    </row>
    <row r="8" spans="1:11" x14ac:dyDescent="0.25">
      <c r="A8" s="51" t="s">
        <v>86</v>
      </c>
      <c r="B8" t="s">
        <v>87</v>
      </c>
      <c r="C8">
        <v>29</v>
      </c>
      <c r="D8" t="s">
        <v>42</v>
      </c>
      <c r="E8" s="3">
        <v>2023</v>
      </c>
      <c r="F8">
        <v>103222</v>
      </c>
      <c r="G8">
        <f t="shared" ref="G8:G39" si="0">F8/(C8*1000)</f>
        <v>3.5593793103448275</v>
      </c>
      <c r="H8">
        <f t="shared" ref="H8:H39" si="1">IF(AND(C8&lt;100, D8="No"),G8,"")</f>
        <v>3.5593793103448275</v>
      </c>
      <c r="I8" t="str">
        <f t="shared" ref="I8:I39" si="2">IF(AND(C8&gt;=100, D8="No"),G8,"")</f>
        <v/>
      </c>
      <c r="J8" t="str">
        <f t="shared" ref="J8:J39" si="3">IF(AND(C8&lt;100, D8="Yes"),G8,"")</f>
        <v/>
      </c>
      <c r="K8" t="str">
        <f t="shared" ref="K8:K37" si="4">IF(AND(C8&gt;=100, D8="Yes"),G8,"")</f>
        <v/>
      </c>
    </row>
    <row r="9" spans="1:11" x14ac:dyDescent="0.25">
      <c r="A9" s="52"/>
      <c r="B9" t="s">
        <v>88</v>
      </c>
      <c r="C9">
        <v>47</v>
      </c>
      <c r="D9" t="s">
        <v>42</v>
      </c>
      <c r="E9" s="3">
        <v>2023</v>
      </c>
      <c r="F9" s="3">
        <v>166145</v>
      </c>
      <c r="G9">
        <f t="shared" si="0"/>
        <v>3.5350000000000001</v>
      </c>
      <c r="H9">
        <f t="shared" si="1"/>
        <v>3.5350000000000001</v>
      </c>
      <c r="I9" t="str">
        <f t="shared" si="2"/>
        <v/>
      </c>
      <c r="J9" t="str">
        <f t="shared" si="3"/>
        <v/>
      </c>
      <c r="K9" t="str">
        <f t="shared" si="4"/>
        <v/>
      </c>
    </row>
    <row r="10" spans="1:11" x14ac:dyDescent="0.25">
      <c r="A10" s="52"/>
      <c r="B10" t="s">
        <v>89</v>
      </c>
      <c r="C10">
        <v>324</v>
      </c>
      <c r="D10" t="s">
        <v>42</v>
      </c>
      <c r="E10" s="3">
        <v>2023</v>
      </c>
      <c r="F10" s="3">
        <v>1636200</v>
      </c>
      <c r="G10">
        <f t="shared" si="0"/>
        <v>5.05</v>
      </c>
      <c r="H10" t="str">
        <f t="shared" si="1"/>
        <v/>
      </c>
      <c r="I10">
        <f t="shared" si="2"/>
        <v>5.05</v>
      </c>
      <c r="J10" t="str">
        <f t="shared" si="3"/>
        <v/>
      </c>
      <c r="K10" t="str">
        <f t="shared" si="4"/>
        <v/>
      </c>
    </row>
    <row r="11" spans="1:11" x14ac:dyDescent="0.25">
      <c r="A11" s="52"/>
      <c r="B11" t="s">
        <v>90</v>
      </c>
      <c r="C11">
        <v>180</v>
      </c>
      <c r="D11" t="s">
        <v>42</v>
      </c>
      <c r="E11">
        <v>2011</v>
      </c>
      <c r="F11">
        <v>909000</v>
      </c>
      <c r="G11">
        <f t="shared" si="0"/>
        <v>5.05</v>
      </c>
      <c r="H11" t="str">
        <f t="shared" si="1"/>
        <v/>
      </c>
      <c r="I11">
        <f t="shared" si="2"/>
        <v>5.05</v>
      </c>
      <c r="J11" t="str">
        <f t="shared" si="3"/>
        <v/>
      </c>
      <c r="K11" t="str">
        <f t="shared" si="4"/>
        <v/>
      </c>
    </row>
    <row r="12" spans="1:11" s="3" customFormat="1" x14ac:dyDescent="0.25">
      <c r="A12" s="52"/>
      <c r="B12" t="s">
        <v>91</v>
      </c>
      <c r="C12">
        <v>45</v>
      </c>
      <c r="D12" t="s">
        <v>42</v>
      </c>
      <c r="E12" s="3">
        <v>2014</v>
      </c>
      <c r="F12">
        <v>227250</v>
      </c>
      <c r="G12">
        <f t="shared" si="0"/>
        <v>5.05</v>
      </c>
      <c r="H12">
        <f t="shared" si="1"/>
        <v>5.05</v>
      </c>
      <c r="I12" t="str">
        <f t="shared" si="2"/>
        <v/>
      </c>
      <c r="J12" t="str">
        <f t="shared" si="3"/>
        <v/>
      </c>
      <c r="K12" t="str">
        <f t="shared" si="4"/>
        <v/>
      </c>
    </row>
    <row r="13" spans="1:11" s="3" customFormat="1" x14ac:dyDescent="0.25">
      <c r="A13" s="52"/>
      <c r="B13" t="s">
        <v>92</v>
      </c>
      <c r="C13">
        <v>8.4499999999999993</v>
      </c>
      <c r="D13" t="s">
        <v>42</v>
      </c>
      <c r="E13" s="3">
        <v>2013</v>
      </c>
      <c r="F13">
        <v>42673</v>
      </c>
      <c r="G13">
        <f t="shared" si="0"/>
        <v>5.0500591715976331</v>
      </c>
      <c r="H13">
        <f t="shared" si="1"/>
        <v>5.0500591715976331</v>
      </c>
      <c r="I13" t="str">
        <f t="shared" si="2"/>
        <v/>
      </c>
      <c r="J13" t="str">
        <f t="shared" si="3"/>
        <v/>
      </c>
      <c r="K13" t="str">
        <f t="shared" si="4"/>
        <v/>
      </c>
    </row>
    <row r="14" spans="1:11" s="3" customFormat="1" x14ac:dyDescent="0.25">
      <c r="A14" s="52"/>
      <c r="B14" t="s">
        <v>93</v>
      </c>
      <c r="C14">
        <v>30.5</v>
      </c>
      <c r="D14" t="s">
        <v>42</v>
      </c>
      <c r="E14" s="3">
        <v>2012</v>
      </c>
      <c r="F14">
        <v>159075</v>
      </c>
      <c r="G14">
        <f t="shared" si="0"/>
        <v>5.2155737704918037</v>
      </c>
      <c r="H14">
        <f t="shared" si="1"/>
        <v>5.2155737704918037</v>
      </c>
      <c r="I14" t="str">
        <f t="shared" si="2"/>
        <v/>
      </c>
      <c r="J14" t="str">
        <f t="shared" si="3"/>
        <v/>
      </c>
      <c r="K14" t="str">
        <f t="shared" si="4"/>
        <v/>
      </c>
    </row>
    <row r="15" spans="1:11" s="3" customFormat="1" x14ac:dyDescent="0.25">
      <c r="A15" s="52"/>
      <c r="B15" t="s">
        <v>94</v>
      </c>
      <c r="C15">
        <v>33</v>
      </c>
      <c r="D15" t="s">
        <v>42</v>
      </c>
      <c r="E15" s="3">
        <v>2013</v>
      </c>
      <c r="F15">
        <v>166650</v>
      </c>
      <c r="G15">
        <f t="shared" si="0"/>
        <v>5.05</v>
      </c>
      <c r="H15">
        <f t="shared" si="1"/>
        <v>5.05</v>
      </c>
      <c r="I15" t="str">
        <f t="shared" si="2"/>
        <v/>
      </c>
      <c r="J15" t="str">
        <f t="shared" si="3"/>
        <v/>
      </c>
      <c r="K15" t="str">
        <f t="shared" si="4"/>
        <v/>
      </c>
    </row>
    <row r="16" spans="1:11" s="3" customFormat="1" x14ac:dyDescent="0.25">
      <c r="A16" s="52"/>
      <c r="B16" t="s">
        <v>95</v>
      </c>
      <c r="C16">
        <v>16.12</v>
      </c>
      <c r="D16" t="s">
        <v>42</v>
      </c>
      <c r="E16" s="3">
        <v>2018</v>
      </c>
      <c r="F16">
        <v>81406</v>
      </c>
      <c r="G16">
        <f t="shared" si="0"/>
        <v>5.05</v>
      </c>
      <c r="H16">
        <f t="shared" si="1"/>
        <v>5.05</v>
      </c>
      <c r="I16" t="str">
        <f t="shared" si="2"/>
        <v/>
      </c>
      <c r="J16" t="str">
        <f t="shared" si="3"/>
        <v/>
      </c>
      <c r="K16" t="str">
        <f t="shared" si="4"/>
        <v/>
      </c>
    </row>
    <row r="17" spans="1:12" s="3" customFormat="1" x14ac:dyDescent="0.25">
      <c r="A17" s="52"/>
      <c r="B17" t="s">
        <v>96</v>
      </c>
      <c r="C17">
        <v>36.19</v>
      </c>
      <c r="D17" t="s">
        <v>42</v>
      </c>
      <c r="E17" s="3">
        <v>2012</v>
      </c>
      <c r="F17">
        <v>182760</v>
      </c>
      <c r="G17">
        <f t="shared" si="0"/>
        <v>5.0500138159712629</v>
      </c>
      <c r="H17">
        <f t="shared" si="1"/>
        <v>5.0500138159712629</v>
      </c>
      <c r="I17" t="str">
        <f t="shared" si="2"/>
        <v/>
      </c>
      <c r="J17" t="str">
        <f t="shared" si="3"/>
        <v/>
      </c>
      <c r="K17" t="str">
        <f t="shared" si="4"/>
        <v/>
      </c>
    </row>
    <row r="18" spans="1:12" s="3" customFormat="1" x14ac:dyDescent="0.25">
      <c r="A18" s="52"/>
      <c r="B18" t="s">
        <v>97</v>
      </c>
      <c r="C18">
        <v>11</v>
      </c>
      <c r="D18" t="s">
        <v>42</v>
      </c>
      <c r="E18" s="3">
        <v>2023</v>
      </c>
      <c r="F18">
        <v>55651</v>
      </c>
      <c r="G18">
        <f t="shared" si="0"/>
        <v>5.059181818181818</v>
      </c>
      <c r="H18">
        <f t="shared" si="1"/>
        <v>5.059181818181818</v>
      </c>
      <c r="I18" t="str">
        <f t="shared" si="2"/>
        <v/>
      </c>
      <c r="J18" t="str">
        <f t="shared" si="3"/>
        <v/>
      </c>
      <c r="K18" t="str">
        <f t="shared" si="4"/>
        <v/>
      </c>
    </row>
    <row r="19" spans="1:12" s="3" customFormat="1" x14ac:dyDescent="0.25">
      <c r="A19" s="52"/>
      <c r="B19" t="s">
        <v>98</v>
      </c>
      <c r="C19">
        <v>15</v>
      </c>
      <c r="D19" t="s">
        <v>42</v>
      </c>
      <c r="E19" s="3">
        <v>2023</v>
      </c>
      <c r="F19">
        <v>74235</v>
      </c>
      <c r="G19">
        <f t="shared" si="0"/>
        <v>4.9489999999999998</v>
      </c>
      <c r="H19">
        <f t="shared" si="1"/>
        <v>4.9489999999999998</v>
      </c>
      <c r="I19" t="str">
        <f t="shared" si="2"/>
        <v/>
      </c>
      <c r="J19" t="str">
        <f t="shared" si="3"/>
        <v/>
      </c>
      <c r="K19" t="str">
        <f t="shared" si="4"/>
        <v/>
      </c>
    </row>
    <row r="20" spans="1:12" s="3" customFormat="1" x14ac:dyDescent="0.25">
      <c r="A20" s="52"/>
      <c r="B20" t="s">
        <v>99</v>
      </c>
      <c r="C20">
        <v>335</v>
      </c>
      <c r="D20" t="s">
        <v>42</v>
      </c>
      <c r="E20" s="3">
        <v>2023</v>
      </c>
      <c r="F20">
        <v>2706800</v>
      </c>
      <c r="G20">
        <f t="shared" si="0"/>
        <v>8.08</v>
      </c>
      <c r="H20" t="str">
        <f t="shared" si="1"/>
        <v/>
      </c>
      <c r="I20">
        <f t="shared" si="2"/>
        <v>8.08</v>
      </c>
      <c r="J20" t="str">
        <f t="shared" si="3"/>
        <v/>
      </c>
      <c r="K20" t="str">
        <f t="shared" si="4"/>
        <v/>
      </c>
    </row>
    <row r="21" spans="1:12" s="3" customFormat="1" x14ac:dyDescent="0.25">
      <c r="A21" s="52"/>
      <c r="B21" t="s">
        <v>100</v>
      </c>
      <c r="C21">
        <v>194</v>
      </c>
      <c r="D21" t="s">
        <v>42</v>
      </c>
      <c r="E21" s="3">
        <v>2023</v>
      </c>
      <c r="F21">
        <v>1567520</v>
      </c>
      <c r="G21">
        <f t="shared" si="0"/>
        <v>8.08</v>
      </c>
      <c r="H21" t="str">
        <f t="shared" si="1"/>
        <v/>
      </c>
      <c r="I21">
        <f t="shared" si="2"/>
        <v>8.08</v>
      </c>
      <c r="J21" t="str">
        <f t="shared" si="3"/>
        <v/>
      </c>
      <c r="K21" t="str">
        <f t="shared" si="4"/>
        <v/>
      </c>
    </row>
    <row r="22" spans="1:12" s="3" customFormat="1" x14ac:dyDescent="0.25">
      <c r="A22" s="52"/>
      <c r="B22" t="s">
        <v>101</v>
      </c>
      <c r="C22">
        <v>16.5</v>
      </c>
      <c r="D22" t="s">
        <v>42</v>
      </c>
      <c r="E22" s="3">
        <v>2019</v>
      </c>
      <c r="F22">
        <v>83325</v>
      </c>
      <c r="G22">
        <f t="shared" si="0"/>
        <v>5.05</v>
      </c>
      <c r="H22">
        <f t="shared" si="1"/>
        <v>5.05</v>
      </c>
      <c r="I22" t="str">
        <f t="shared" si="2"/>
        <v/>
      </c>
      <c r="J22" t="str">
        <f t="shared" si="3"/>
        <v/>
      </c>
      <c r="K22" t="str">
        <f t="shared" si="4"/>
        <v/>
      </c>
    </row>
    <row r="23" spans="1:12" s="3" customFormat="1" x14ac:dyDescent="0.25">
      <c r="A23" s="52"/>
      <c r="B23" t="s">
        <v>102</v>
      </c>
      <c r="C23">
        <v>84.5</v>
      </c>
      <c r="D23" t="s">
        <v>42</v>
      </c>
      <c r="E23" s="3">
        <v>2020</v>
      </c>
      <c r="F23">
        <v>426725</v>
      </c>
      <c r="G23">
        <f t="shared" si="0"/>
        <v>5.05</v>
      </c>
      <c r="H23">
        <f t="shared" si="1"/>
        <v>5.05</v>
      </c>
      <c r="I23" t="str">
        <f t="shared" si="2"/>
        <v/>
      </c>
      <c r="J23" t="str">
        <f t="shared" si="3"/>
        <v/>
      </c>
      <c r="K23" t="str">
        <f t="shared" si="4"/>
        <v/>
      </c>
    </row>
    <row r="24" spans="1:12" s="3" customFormat="1" x14ac:dyDescent="0.25">
      <c r="A24" s="52"/>
      <c r="B24" t="s">
        <v>103</v>
      </c>
      <c r="C24">
        <v>53</v>
      </c>
      <c r="D24" t="s">
        <v>42</v>
      </c>
      <c r="E24" s="3">
        <v>2023</v>
      </c>
      <c r="F24">
        <v>457581</v>
      </c>
      <c r="G24">
        <f t="shared" si="0"/>
        <v>8.6336037735849054</v>
      </c>
      <c r="H24">
        <f t="shared" si="1"/>
        <v>8.6336037735849054</v>
      </c>
      <c r="I24" t="str">
        <f t="shared" si="2"/>
        <v/>
      </c>
      <c r="J24" t="str">
        <f t="shared" si="3"/>
        <v/>
      </c>
      <c r="K24" t="str">
        <f t="shared" si="4"/>
        <v/>
      </c>
    </row>
    <row r="25" spans="1:12" x14ac:dyDescent="0.25">
      <c r="A25" s="52"/>
      <c r="B25" t="s">
        <v>104</v>
      </c>
      <c r="C25">
        <v>59</v>
      </c>
      <c r="D25" t="s">
        <v>42</v>
      </c>
      <c r="E25" s="3">
        <v>2023</v>
      </c>
      <c r="F25">
        <v>506515</v>
      </c>
      <c r="G25">
        <f t="shared" si="0"/>
        <v>8.5850000000000009</v>
      </c>
      <c r="H25">
        <f t="shared" si="1"/>
        <v>8.5850000000000009</v>
      </c>
      <c r="I25" t="str">
        <f t="shared" si="2"/>
        <v/>
      </c>
      <c r="J25" t="str">
        <f t="shared" si="3"/>
        <v/>
      </c>
      <c r="K25" t="str">
        <f t="shared" si="4"/>
        <v/>
      </c>
      <c r="L25" s="3"/>
    </row>
    <row r="26" spans="1:12" s="3" customFormat="1" x14ac:dyDescent="0.25">
      <c r="A26" s="52"/>
      <c r="B26" t="s">
        <v>105</v>
      </c>
      <c r="C26">
        <v>226</v>
      </c>
      <c r="D26" t="s">
        <v>42</v>
      </c>
      <c r="E26" s="3">
        <v>2023</v>
      </c>
      <c r="F26">
        <v>1940210</v>
      </c>
      <c r="G26">
        <f t="shared" si="0"/>
        <v>8.5850000000000009</v>
      </c>
      <c r="H26" t="str">
        <f t="shared" si="1"/>
        <v/>
      </c>
      <c r="I26">
        <f t="shared" si="2"/>
        <v>8.5850000000000009</v>
      </c>
      <c r="J26" t="str">
        <f t="shared" si="3"/>
        <v/>
      </c>
      <c r="K26" t="str">
        <f t="shared" si="4"/>
        <v/>
      </c>
    </row>
    <row r="27" spans="1:12" x14ac:dyDescent="0.25">
      <c r="A27" s="52"/>
      <c r="B27" t="s">
        <v>106</v>
      </c>
      <c r="C27">
        <v>70</v>
      </c>
      <c r="D27" t="s">
        <v>42</v>
      </c>
      <c r="E27" s="3">
        <v>2023</v>
      </c>
      <c r="F27">
        <v>353500</v>
      </c>
      <c r="G27">
        <f t="shared" si="0"/>
        <v>5.05</v>
      </c>
      <c r="H27">
        <f t="shared" si="1"/>
        <v>5.05</v>
      </c>
      <c r="I27" t="str">
        <f t="shared" si="2"/>
        <v/>
      </c>
      <c r="J27" t="str">
        <f t="shared" si="3"/>
        <v/>
      </c>
      <c r="K27" t="str">
        <f t="shared" si="4"/>
        <v/>
      </c>
      <c r="L27" s="3"/>
    </row>
    <row r="28" spans="1:12" s="3" customFormat="1" x14ac:dyDescent="0.25">
      <c r="A28" s="52"/>
      <c r="B28" t="s">
        <v>107</v>
      </c>
      <c r="C28">
        <v>508</v>
      </c>
      <c r="D28" t="s">
        <v>42</v>
      </c>
      <c r="E28" s="3">
        <v>2023</v>
      </c>
      <c r="F28">
        <v>4361180</v>
      </c>
      <c r="G28">
        <f t="shared" si="0"/>
        <v>8.5850000000000009</v>
      </c>
      <c r="H28" t="str">
        <f t="shared" si="1"/>
        <v/>
      </c>
      <c r="I28">
        <f t="shared" si="2"/>
        <v>8.5850000000000009</v>
      </c>
      <c r="J28" t="str">
        <f t="shared" si="3"/>
        <v/>
      </c>
      <c r="K28" t="str">
        <f t="shared" si="4"/>
        <v/>
      </c>
    </row>
    <row r="29" spans="1:12" x14ac:dyDescent="0.25">
      <c r="A29" s="52"/>
      <c r="B29" t="s">
        <v>108</v>
      </c>
      <c r="C29">
        <v>257</v>
      </c>
      <c r="D29" t="s">
        <v>42</v>
      </c>
      <c r="E29" s="3">
        <v>2023</v>
      </c>
      <c r="F29">
        <v>2206345</v>
      </c>
      <c r="G29">
        <f t="shared" si="0"/>
        <v>8.5850000000000009</v>
      </c>
      <c r="H29" t="str">
        <f t="shared" si="1"/>
        <v/>
      </c>
      <c r="I29">
        <f t="shared" si="2"/>
        <v>8.5850000000000009</v>
      </c>
      <c r="J29" t="str">
        <f t="shared" si="3"/>
        <v/>
      </c>
      <c r="K29" t="str">
        <f t="shared" si="4"/>
        <v/>
      </c>
      <c r="L29" s="3"/>
    </row>
    <row r="30" spans="1:12" s="3" customFormat="1" x14ac:dyDescent="0.25">
      <c r="A30" s="52"/>
      <c r="B30" t="s">
        <v>109</v>
      </c>
      <c r="C30">
        <v>105</v>
      </c>
      <c r="D30" t="s">
        <v>42</v>
      </c>
      <c r="E30" s="3">
        <v>2023</v>
      </c>
      <c r="F30">
        <v>901425</v>
      </c>
      <c r="G30">
        <f t="shared" si="0"/>
        <v>8.5850000000000009</v>
      </c>
      <c r="H30" t="str">
        <f t="shared" si="1"/>
        <v/>
      </c>
      <c r="I30">
        <f t="shared" si="2"/>
        <v>8.5850000000000009</v>
      </c>
      <c r="J30" t="str">
        <f t="shared" si="3"/>
        <v/>
      </c>
      <c r="K30" t="str">
        <f t="shared" si="4"/>
        <v/>
      </c>
    </row>
    <row r="31" spans="1:12" x14ac:dyDescent="0.25">
      <c r="A31" s="52"/>
      <c r="B31" t="s">
        <v>110</v>
      </c>
      <c r="C31">
        <v>1922</v>
      </c>
      <c r="D31" t="s">
        <v>42</v>
      </c>
      <c r="E31" s="3">
        <v>2023</v>
      </c>
      <c r="F31">
        <v>21353420</v>
      </c>
      <c r="G31">
        <f t="shared" si="0"/>
        <v>11.11</v>
      </c>
      <c r="H31" t="str">
        <f t="shared" si="1"/>
        <v/>
      </c>
      <c r="I31">
        <f t="shared" si="2"/>
        <v>11.11</v>
      </c>
      <c r="J31" t="str">
        <f t="shared" si="3"/>
        <v/>
      </c>
      <c r="K31" t="str">
        <f t="shared" si="4"/>
        <v/>
      </c>
      <c r="L31" s="3"/>
    </row>
    <row r="32" spans="1:12" s="3" customFormat="1" x14ac:dyDescent="0.25">
      <c r="A32" s="52"/>
      <c r="B32" t="s">
        <v>111</v>
      </c>
      <c r="C32">
        <v>230</v>
      </c>
      <c r="D32" t="s">
        <v>42</v>
      </c>
      <c r="E32" s="3">
        <v>2023</v>
      </c>
      <c r="F32">
        <v>2555300</v>
      </c>
      <c r="G32">
        <f t="shared" si="0"/>
        <v>11.11</v>
      </c>
      <c r="H32" t="str">
        <f t="shared" si="1"/>
        <v/>
      </c>
      <c r="I32">
        <f t="shared" si="2"/>
        <v>11.11</v>
      </c>
      <c r="J32" t="str">
        <f t="shared" si="3"/>
        <v/>
      </c>
      <c r="K32" t="str">
        <f t="shared" si="4"/>
        <v/>
      </c>
    </row>
    <row r="33" spans="1:11" s="3" customFormat="1" ht="43.5" customHeight="1" x14ac:dyDescent="0.25">
      <c r="A33" s="53" t="s">
        <v>112</v>
      </c>
      <c r="B33" t="s">
        <v>113</v>
      </c>
      <c r="C33">
        <v>240</v>
      </c>
      <c r="D33" t="s">
        <v>42</v>
      </c>
      <c r="E33" s="3">
        <v>2024</v>
      </c>
      <c r="F33">
        <v>206040</v>
      </c>
      <c r="G33">
        <f t="shared" si="0"/>
        <v>0.85850000000000004</v>
      </c>
      <c r="H33" t="str">
        <f t="shared" si="1"/>
        <v/>
      </c>
      <c r="I33">
        <f t="shared" si="2"/>
        <v>0.85850000000000004</v>
      </c>
      <c r="J33" t="str">
        <f t="shared" si="3"/>
        <v/>
      </c>
      <c r="K33" t="str">
        <f t="shared" si="4"/>
        <v/>
      </c>
    </row>
    <row r="34" spans="1:11" s="3" customFormat="1" x14ac:dyDescent="0.25">
      <c r="A34" s="53"/>
      <c r="B34" t="s">
        <v>114</v>
      </c>
      <c r="C34">
        <v>61</v>
      </c>
      <c r="D34" t="s">
        <v>42</v>
      </c>
      <c r="E34" s="3">
        <v>2024</v>
      </c>
      <c r="F34">
        <v>492880</v>
      </c>
      <c r="G34">
        <f t="shared" si="0"/>
        <v>8.08</v>
      </c>
      <c r="H34">
        <f t="shared" si="1"/>
        <v>8.08</v>
      </c>
      <c r="I34" t="str">
        <f t="shared" si="2"/>
        <v/>
      </c>
      <c r="J34" t="str">
        <f t="shared" si="3"/>
        <v/>
      </c>
      <c r="K34" t="str">
        <f t="shared" si="4"/>
        <v/>
      </c>
    </row>
    <row r="35" spans="1:11" s="3" customFormat="1" x14ac:dyDescent="0.25">
      <c r="A35" s="53"/>
      <c r="B35" t="s">
        <v>115</v>
      </c>
      <c r="C35">
        <v>57</v>
      </c>
      <c r="D35" t="s">
        <v>42</v>
      </c>
      <c r="E35" s="3">
        <v>2024</v>
      </c>
      <c r="F35">
        <v>489345</v>
      </c>
      <c r="G35">
        <f t="shared" si="0"/>
        <v>8.5850000000000009</v>
      </c>
      <c r="H35">
        <f t="shared" si="1"/>
        <v>8.5850000000000009</v>
      </c>
      <c r="I35" t="str">
        <f t="shared" si="2"/>
        <v/>
      </c>
      <c r="J35" t="str">
        <f t="shared" si="3"/>
        <v/>
      </c>
      <c r="K35" t="str">
        <f t="shared" si="4"/>
        <v/>
      </c>
    </row>
    <row r="36" spans="1:11" s="3" customFormat="1" x14ac:dyDescent="0.25">
      <c r="A36" s="53"/>
      <c r="B36" t="s">
        <v>116</v>
      </c>
      <c r="C36">
        <v>783</v>
      </c>
      <c r="D36" t="s">
        <v>42</v>
      </c>
      <c r="E36" s="3">
        <v>2024</v>
      </c>
      <c r="F36">
        <v>8699130</v>
      </c>
      <c r="G36">
        <f t="shared" si="0"/>
        <v>11.11</v>
      </c>
      <c r="H36" t="str">
        <f t="shared" si="1"/>
        <v/>
      </c>
      <c r="I36">
        <f t="shared" si="2"/>
        <v>11.11</v>
      </c>
      <c r="J36" t="str">
        <f t="shared" si="3"/>
        <v/>
      </c>
      <c r="K36" t="str">
        <f t="shared" si="4"/>
        <v/>
      </c>
    </row>
    <row r="37" spans="1:11" s="3" customFormat="1" x14ac:dyDescent="0.25">
      <c r="A37" s="53"/>
      <c r="B37" t="s">
        <v>117</v>
      </c>
      <c r="C37">
        <v>422</v>
      </c>
      <c r="D37" t="s">
        <v>42</v>
      </c>
      <c r="E37" s="3">
        <v>2024</v>
      </c>
      <c r="F37">
        <v>4606610</v>
      </c>
      <c r="G37">
        <f t="shared" si="0"/>
        <v>10.916137440758293</v>
      </c>
      <c r="H37" t="str">
        <f t="shared" si="1"/>
        <v/>
      </c>
      <c r="I37">
        <f t="shared" si="2"/>
        <v>10.916137440758293</v>
      </c>
      <c r="J37" t="str">
        <f t="shared" si="3"/>
        <v/>
      </c>
      <c r="K37" t="str">
        <f t="shared" si="4"/>
        <v/>
      </c>
    </row>
    <row r="38" spans="1:11" s="3" customFormat="1" ht="14.25" customHeight="1" x14ac:dyDescent="0.25">
      <c r="A38" s="49" t="s">
        <v>118</v>
      </c>
      <c r="B38" t="s">
        <v>119</v>
      </c>
      <c r="C38">
        <v>57</v>
      </c>
      <c r="D38" t="s">
        <v>42</v>
      </c>
      <c r="E38">
        <v>2023</v>
      </c>
      <c r="F38" s="28">
        <v>207814</v>
      </c>
      <c r="G38">
        <f t="shared" si="0"/>
        <v>3.6458596491228068</v>
      </c>
      <c r="H38">
        <f t="shared" si="1"/>
        <v>3.6458596491228068</v>
      </c>
      <c r="I38" t="str">
        <f t="shared" si="2"/>
        <v/>
      </c>
      <c r="J38" t="str">
        <f t="shared" si="3"/>
        <v/>
      </c>
      <c r="K38" s="31" t="s">
        <v>119</v>
      </c>
    </row>
    <row r="39" spans="1:11" s="3" customFormat="1" x14ac:dyDescent="0.25">
      <c r="A39" s="49"/>
      <c r="B39" t="s">
        <v>120</v>
      </c>
      <c r="C39">
        <v>10</v>
      </c>
      <c r="D39" t="s">
        <v>43</v>
      </c>
      <c r="E39">
        <v>2023</v>
      </c>
      <c r="F39" s="28">
        <v>72786.100000000006</v>
      </c>
      <c r="G39">
        <f t="shared" si="0"/>
        <v>7.2786100000000005</v>
      </c>
      <c r="H39" t="str">
        <f t="shared" si="1"/>
        <v/>
      </c>
      <c r="I39" t="str">
        <f t="shared" si="2"/>
        <v/>
      </c>
      <c r="J39">
        <f t="shared" si="3"/>
        <v>7.2786100000000005</v>
      </c>
      <c r="K39" s="31" t="s">
        <v>120</v>
      </c>
    </row>
    <row r="40" spans="1:11" x14ac:dyDescent="0.25">
      <c r="E40" s="3"/>
      <c r="F40"/>
    </row>
    <row r="41" spans="1:11" s="3" customFormat="1" x14ac:dyDescent="0.25">
      <c r="B41" s="26"/>
      <c r="C41"/>
      <c r="D41"/>
      <c r="F41"/>
      <c r="G41"/>
      <c r="H41"/>
      <c r="I41"/>
      <c r="J41"/>
      <c r="K41"/>
    </row>
    <row r="42" spans="1:11" s="3" customFormat="1" x14ac:dyDescent="0.25">
      <c r="B42"/>
      <c r="C42"/>
      <c r="D42"/>
      <c r="E42" s="29"/>
      <c r="F42"/>
      <c r="G42"/>
      <c r="H42"/>
      <c r="I42"/>
      <c r="J42"/>
      <c r="K42"/>
    </row>
    <row r="43" spans="1:11" s="3" customFormat="1" ht="15.75" x14ac:dyDescent="0.25">
      <c r="B43"/>
      <c r="C43"/>
      <c r="D43"/>
      <c r="E43" s="30"/>
      <c r="F43"/>
      <c r="G43"/>
      <c r="H43"/>
      <c r="I43"/>
      <c r="J43"/>
      <c r="K43"/>
    </row>
    <row r="44" spans="1:11" s="3" customFormat="1" x14ac:dyDescent="0.25">
      <c r="B44"/>
      <c r="C44"/>
      <c r="D44"/>
      <c r="E44" s="29"/>
      <c r="F44"/>
      <c r="G44"/>
      <c r="H44"/>
      <c r="I44"/>
      <c r="J44"/>
      <c r="K44"/>
    </row>
    <row r="45" spans="1:11" s="3" customFormat="1" x14ac:dyDescent="0.25">
      <c r="B45"/>
      <c r="C45"/>
      <c r="D45"/>
      <c r="E45" s="29"/>
      <c r="F45"/>
      <c r="G45"/>
      <c r="H45"/>
      <c r="I45"/>
      <c r="J45"/>
      <c r="K45"/>
    </row>
    <row r="46" spans="1:11" s="3" customFormat="1" x14ac:dyDescent="0.25">
      <c r="B46"/>
      <c r="C46"/>
      <c r="D46"/>
      <c r="E46" s="29"/>
      <c r="F46"/>
      <c r="G46"/>
      <c r="H46"/>
      <c r="I46"/>
      <c r="J46"/>
      <c r="K46"/>
    </row>
    <row r="47" spans="1:11" s="3" customFormat="1" x14ac:dyDescent="0.25">
      <c r="B47"/>
      <c r="C47"/>
      <c r="D47"/>
      <c r="E47" s="29"/>
      <c r="F47"/>
      <c r="G47"/>
      <c r="H47"/>
      <c r="I47"/>
      <c r="J47"/>
      <c r="K47"/>
    </row>
    <row r="48" spans="1:11" s="3" customFormat="1" x14ac:dyDescent="0.25">
      <c r="B48"/>
      <c r="C48"/>
      <c r="D48"/>
      <c r="F48"/>
      <c r="G48"/>
      <c r="H48"/>
      <c r="I48"/>
      <c r="J48"/>
      <c r="K48"/>
    </row>
    <row r="49" spans="2:11" s="3" customFormat="1" x14ac:dyDescent="0.25">
      <c r="B49"/>
      <c r="C49"/>
      <c r="D49"/>
      <c r="E49" s="29"/>
      <c r="F49"/>
      <c r="G49"/>
      <c r="H49"/>
      <c r="I49"/>
      <c r="J49"/>
      <c r="K49"/>
    </row>
    <row r="50" spans="2:11" s="3" customFormat="1" x14ac:dyDescent="0.25">
      <c r="B50"/>
      <c r="C50"/>
      <c r="D50"/>
      <c r="E50" s="29"/>
      <c r="F50"/>
      <c r="G50"/>
      <c r="H50"/>
      <c r="I50"/>
      <c r="J50"/>
      <c r="K50"/>
    </row>
    <row r="51" spans="2:11" s="3" customFormat="1" x14ac:dyDescent="0.25">
      <c r="B51"/>
      <c r="C51"/>
      <c r="D51"/>
      <c r="E51" s="29"/>
      <c r="F51"/>
      <c r="G51"/>
      <c r="H51"/>
      <c r="I51"/>
      <c r="J51"/>
      <c r="K51"/>
    </row>
    <row r="52" spans="2:11" x14ac:dyDescent="0.25">
      <c r="E52" s="3"/>
      <c r="F52"/>
    </row>
    <row r="53" spans="2:11" x14ac:dyDescent="0.25">
      <c r="E53" s="3"/>
      <c r="F53"/>
    </row>
    <row r="54" spans="2:11" x14ac:dyDescent="0.25">
      <c r="B54" s="26"/>
      <c r="E54" s="3"/>
      <c r="F54"/>
    </row>
    <row r="55" spans="2:11" x14ac:dyDescent="0.25">
      <c r="B55" s="26"/>
      <c r="E55" s="3"/>
      <c r="F55"/>
    </row>
    <row r="56" spans="2:11" x14ac:dyDescent="0.25">
      <c r="C56" s="3"/>
      <c r="E56" s="28"/>
      <c r="F56"/>
    </row>
    <row r="57" spans="2:11" x14ac:dyDescent="0.25">
      <c r="B57" s="1"/>
      <c r="C57" s="3"/>
      <c r="E57" s="3"/>
      <c r="F57"/>
    </row>
    <row r="58" spans="2:11" x14ac:dyDescent="0.25">
      <c r="B58" s="1"/>
      <c r="C58" s="3"/>
      <c r="E58" s="28"/>
      <c r="F58"/>
    </row>
    <row r="59" spans="2:11" x14ac:dyDescent="0.25">
      <c r="B59" s="1"/>
      <c r="C59" s="3"/>
      <c r="E59" s="28"/>
      <c r="F59"/>
    </row>
    <row r="60" spans="2:11" x14ac:dyDescent="0.25">
      <c r="B60" s="1"/>
      <c r="C60" s="3"/>
      <c r="E60" s="28"/>
      <c r="F60"/>
    </row>
    <row r="61" spans="2:11" x14ac:dyDescent="0.25">
      <c r="B61" s="1"/>
      <c r="C61" s="3"/>
      <c r="E61" s="28"/>
      <c r="F61"/>
    </row>
    <row r="62" spans="2:11" x14ac:dyDescent="0.25">
      <c r="B62" s="1"/>
      <c r="C62" s="3"/>
      <c r="E62" s="28"/>
      <c r="F62"/>
    </row>
    <row r="63" spans="2:11" x14ac:dyDescent="0.25">
      <c r="D63" s="3"/>
      <c r="F63"/>
    </row>
    <row r="64" spans="2:11" x14ac:dyDescent="0.25">
      <c r="D64" s="3"/>
      <c r="F64"/>
    </row>
    <row r="65" spans="2:6" x14ac:dyDescent="0.25">
      <c r="E65" s="3"/>
      <c r="F65"/>
    </row>
    <row r="66" spans="2:6" x14ac:dyDescent="0.25">
      <c r="E66" s="3"/>
      <c r="F66"/>
    </row>
    <row r="67" spans="2:6" x14ac:dyDescent="0.25">
      <c r="E67" s="3"/>
      <c r="F67"/>
    </row>
    <row r="68" spans="2:6" x14ac:dyDescent="0.25">
      <c r="B68" s="26"/>
      <c r="E68" s="3"/>
      <c r="F68"/>
    </row>
    <row r="69" spans="2:6" x14ac:dyDescent="0.25">
      <c r="E69" s="3"/>
      <c r="F69"/>
    </row>
    <row r="70" spans="2:6" x14ac:dyDescent="0.25">
      <c r="E70" s="3"/>
      <c r="F70"/>
    </row>
    <row r="71" spans="2:6" x14ac:dyDescent="0.25">
      <c r="E71" s="3"/>
      <c r="F71"/>
    </row>
    <row r="72" spans="2:6" x14ac:dyDescent="0.25">
      <c r="E72" s="3"/>
      <c r="F72"/>
    </row>
    <row r="73" spans="2:6" x14ac:dyDescent="0.25">
      <c r="E73" s="3"/>
      <c r="F73"/>
    </row>
    <row r="74" spans="2:6" x14ac:dyDescent="0.25">
      <c r="E74" s="3"/>
      <c r="F74"/>
    </row>
    <row r="75" spans="2:6" x14ac:dyDescent="0.25">
      <c r="E75" s="3"/>
      <c r="F75"/>
    </row>
    <row r="76" spans="2:6" x14ac:dyDescent="0.25">
      <c r="E76" s="3"/>
      <c r="F76"/>
    </row>
    <row r="77" spans="2:6" x14ac:dyDescent="0.25">
      <c r="B77" s="26"/>
    </row>
    <row r="78" spans="2:6" x14ac:dyDescent="0.25">
      <c r="B78" s="26"/>
    </row>
  </sheetData>
  <mergeCells count="6">
    <mergeCell ref="A38:A39"/>
    <mergeCell ref="E2:F2"/>
    <mergeCell ref="H5:I5"/>
    <mergeCell ref="J5:K5"/>
    <mergeCell ref="A8:A32"/>
    <mergeCell ref="A33:A37"/>
  </mergeCells>
  <hyperlinks>
    <hyperlink ref="K38" r:id="rId1" xr:uid="{00000000-0004-0000-0300-000000000000}"/>
    <hyperlink ref="K39" r:id="rId2" xr:uid="{00000000-0004-0000-03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88"/>
  <sheetViews>
    <sheetView showGridLines="0" workbookViewId="0"/>
  </sheetViews>
  <sheetFormatPr defaultRowHeight="15" x14ac:dyDescent="0.25"/>
  <cols>
    <col min="2" max="2" width="27" style="3" customWidth="1"/>
    <col min="3" max="4" width="22.28515625" style="3" customWidth="1"/>
    <col min="5" max="5" width="15.140625" customWidth="1"/>
    <col min="6" max="8" width="10.7109375" customWidth="1"/>
    <col min="9" max="11" width="12.140625" customWidth="1"/>
    <col min="12" max="12" width="13.42578125" customWidth="1"/>
  </cols>
  <sheetData>
    <row r="2" spans="2:11" x14ac:dyDescent="0.25">
      <c r="B2" s="2" t="s">
        <v>121</v>
      </c>
      <c r="C2" s="58" t="s">
        <v>122</v>
      </c>
      <c r="D2" s="58"/>
      <c r="E2" s="58"/>
      <c r="F2" s="58" t="s">
        <v>79</v>
      </c>
      <c r="G2" s="58"/>
      <c r="H2" s="58"/>
      <c r="I2" s="59" t="s">
        <v>123</v>
      </c>
      <c r="J2" s="59"/>
      <c r="K2" s="59"/>
    </row>
    <row r="3" spans="2:11" ht="30" x14ac:dyDescent="0.25">
      <c r="B3" s="15" t="s">
        <v>124</v>
      </c>
      <c r="C3" s="12" t="s">
        <v>125</v>
      </c>
      <c r="D3" s="12" t="s">
        <v>126</v>
      </c>
      <c r="E3" s="5" t="s">
        <v>127</v>
      </c>
      <c r="F3" s="4" t="s">
        <v>128</v>
      </c>
      <c r="G3" s="4" t="s">
        <v>129</v>
      </c>
      <c r="H3" s="5" t="s">
        <v>127</v>
      </c>
      <c r="I3" s="4" t="s">
        <v>130</v>
      </c>
      <c r="J3" s="4" t="s">
        <v>35</v>
      </c>
      <c r="K3" s="5" t="s">
        <v>127</v>
      </c>
    </row>
    <row r="4" spans="2:11" ht="45" x14ac:dyDescent="0.25">
      <c r="B4" s="3" t="s">
        <v>131</v>
      </c>
      <c r="C4" s="3">
        <v>164</v>
      </c>
      <c r="D4" s="14">
        <f>C4/1000</f>
        <v>0.16400000000000001</v>
      </c>
      <c r="E4" s="10">
        <f>D4/$D$20</f>
        <v>7.4174581637268214E-2</v>
      </c>
      <c r="F4">
        <v>126</v>
      </c>
      <c r="G4" s="11">
        <f>F4/1000</f>
        <v>0.126</v>
      </c>
      <c r="H4" s="10">
        <f>G4/$G$20</f>
        <v>7.5044669446098861E-2</v>
      </c>
      <c r="I4">
        <v>52</v>
      </c>
      <c r="J4" s="11">
        <f>I4/0.6/1000</f>
        <v>8.666666666666667E-2</v>
      </c>
      <c r="K4" s="10">
        <f>J4/$J$20</f>
        <v>4.9713193116634795E-2</v>
      </c>
    </row>
    <row r="5" spans="2:11" x14ac:dyDescent="0.25">
      <c r="B5" s="3" t="s">
        <v>132</v>
      </c>
      <c r="C5" s="3">
        <v>58</v>
      </c>
      <c r="D5" s="14">
        <f t="shared" ref="D5:D20" si="0">C5/1000</f>
        <v>5.8000000000000003E-2</v>
      </c>
      <c r="E5" s="10">
        <f t="shared" ref="E5:E20" si="1">D5/$D$20</f>
        <v>2.6232473993668026E-2</v>
      </c>
      <c r="F5">
        <v>352</v>
      </c>
      <c r="G5" s="11">
        <f t="shared" ref="G5:G19" si="2">F5/1000</f>
        <v>0.35199999999999998</v>
      </c>
      <c r="H5" s="10">
        <f t="shared" ref="H5:H19" si="3">G5/$G$20</f>
        <v>0.20964860035735555</v>
      </c>
      <c r="I5">
        <v>57</v>
      </c>
      <c r="J5" s="11">
        <f t="shared" ref="J5:J19" si="4">I5/0.6/1000</f>
        <v>9.5000000000000001E-2</v>
      </c>
      <c r="K5" s="10">
        <f t="shared" ref="K5:K20" si="5">J5/$J$20</f>
        <v>5.449330783938814E-2</v>
      </c>
    </row>
    <row r="6" spans="2:11" x14ac:dyDescent="0.25">
      <c r="B6" s="3" t="s">
        <v>133</v>
      </c>
      <c r="C6" s="3">
        <v>58</v>
      </c>
      <c r="D6" s="14">
        <f t="shared" si="0"/>
        <v>5.8000000000000003E-2</v>
      </c>
      <c r="E6" s="10">
        <f t="shared" si="1"/>
        <v>2.6232473993668026E-2</v>
      </c>
      <c r="F6">
        <v>47</v>
      </c>
      <c r="G6" s="11">
        <f t="shared" si="2"/>
        <v>4.7E-2</v>
      </c>
      <c r="H6" s="10">
        <f t="shared" si="3"/>
        <v>2.799285288862418E-2</v>
      </c>
      <c r="I6">
        <v>38</v>
      </c>
      <c r="J6" s="11">
        <f t="shared" si="4"/>
        <v>6.3333333333333339E-2</v>
      </c>
      <c r="K6" s="10">
        <f t="shared" si="5"/>
        <v>3.6328871892925427E-2</v>
      </c>
    </row>
    <row r="7" spans="2:11" x14ac:dyDescent="0.25">
      <c r="B7" s="3" t="s">
        <v>134</v>
      </c>
      <c r="D7" s="14">
        <f t="shared" si="0"/>
        <v>0</v>
      </c>
      <c r="E7" s="10">
        <f t="shared" si="1"/>
        <v>0</v>
      </c>
      <c r="G7" s="11">
        <f t="shared" si="2"/>
        <v>0</v>
      </c>
      <c r="H7" s="10">
        <f t="shared" si="3"/>
        <v>0</v>
      </c>
      <c r="J7" s="11">
        <f t="shared" si="4"/>
        <v>0</v>
      </c>
      <c r="K7" s="10">
        <f t="shared" si="5"/>
        <v>0</v>
      </c>
    </row>
    <row r="8" spans="2:11" x14ac:dyDescent="0.25">
      <c r="B8" s="3" t="s">
        <v>135</v>
      </c>
      <c r="C8" s="3">
        <v>28</v>
      </c>
      <c r="D8" s="14">
        <f t="shared" si="0"/>
        <v>2.8000000000000001E-2</v>
      </c>
      <c r="E8" s="10">
        <f t="shared" si="1"/>
        <v>1.2663952962460426E-2</v>
      </c>
      <c r="F8">
        <v>28</v>
      </c>
      <c r="G8" s="11">
        <f t="shared" si="2"/>
        <v>2.8000000000000001E-2</v>
      </c>
      <c r="H8" s="10">
        <f t="shared" si="3"/>
        <v>1.6676593210244194E-2</v>
      </c>
      <c r="I8">
        <v>28</v>
      </c>
      <c r="J8" s="11">
        <f t="shared" si="4"/>
        <v>4.6666666666666669E-2</v>
      </c>
      <c r="K8" s="10">
        <f t="shared" si="5"/>
        <v>2.6768642447418736E-2</v>
      </c>
    </row>
    <row r="9" spans="2:11" x14ac:dyDescent="0.25">
      <c r="B9" s="3" t="s">
        <v>136</v>
      </c>
      <c r="C9" s="3">
        <v>7</v>
      </c>
      <c r="D9" s="14">
        <f t="shared" si="0"/>
        <v>7.0000000000000001E-3</v>
      </c>
      <c r="E9" s="10">
        <f t="shared" si="1"/>
        <v>3.1659882406151066E-3</v>
      </c>
      <c r="F9">
        <v>7</v>
      </c>
      <c r="G9" s="11">
        <f t="shared" si="2"/>
        <v>7.0000000000000001E-3</v>
      </c>
      <c r="H9" s="10">
        <f t="shared" si="3"/>
        <v>4.1691483025610484E-3</v>
      </c>
      <c r="I9">
        <v>7</v>
      </c>
      <c r="J9" s="11">
        <f t="shared" si="4"/>
        <v>1.1666666666666667E-2</v>
      </c>
      <c r="K9" s="10">
        <f t="shared" si="5"/>
        <v>6.6921606118546841E-3</v>
      </c>
    </row>
    <row r="10" spans="2:11" x14ac:dyDescent="0.25">
      <c r="B10" s="3" t="s">
        <v>137</v>
      </c>
      <c r="D10" s="14">
        <f t="shared" si="0"/>
        <v>0</v>
      </c>
      <c r="E10" s="10">
        <f t="shared" si="1"/>
        <v>0</v>
      </c>
      <c r="G10" s="11">
        <f t="shared" si="2"/>
        <v>0</v>
      </c>
      <c r="H10" s="10">
        <f t="shared" si="3"/>
        <v>0</v>
      </c>
      <c r="J10" s="11">
        <f t="shared" si="4"/>
        <v>0</v>
      </c>
      <c r="K10" s="10">
        <f t="shared" si="5"/>
        <v>0</v>
      </c>
    </row>
    <row r="11" spans="2:11" x14ac:dyDescent="0.25">
      <c r="B11" s="3" t="s">
        <v>138</v>
      </c>
      <c r="C11" s="3">
        <v>94</v>
      </c>
      <c r="D11" s="14">
        <f t="shared" si="0"/>
        <v>9.4E-2</v>
      </c>
      <c r="E11" s="10">
        <f t="shared" si="1"/>
        <v>4.2514699231117142E-2</v>
      </c>
      <c r="F11">
        <v>54</v>
      </c>
      <c r="G11" s="11">
        <f t="shared" si="2"/>
        <v>5.3999999999999999E-2</v>
      </c>
      <c r="H11" s="10">
        <f t="shared" si="3"/>
        <v>3.216200119118523E-2</v>
      </c>
      <c r="I11">
        <v>50</v>
      </c>
      <c r="J11" s="11">
        <f t="shared" si="4"/>
        <v>8.3333333333333343E-2</v>
      </c>
      <c r="K11" s="10">
        <f t="shared" si="5"/>
        <v>4.780114722753346E-2</v>
      </c>
    </row>
    <row r="12" spans="2:11" x14ac:dyDescent="0.25">
      <c r="B12" s="3" t="s">
        <v>139</v>
      </c>
      <c r="C12" s="3">
        <v>178</v>
      </c>
      <c r="D12" s="14">
        <f t="shared" si="0"/>
        <v>0.17799999999999999</v>
      </c>
      <c r="E12" s="10">
        <f t="shared" si="1"/>
        <v>8.0506558118498425E-2</v>
      </c>
      <c r="F12">
        <v>97</v>
      </c>
      <c r="G12" s="11">
        <f t="shared" si="2"/>
        <v>9.7000000000000003E-2</v>
      </c>
      <c r="H12" s="10">
        <f t="shared" si="3"/>
        <v>5.7772483621203095E-2</v>
      </c>
      <c r="I12">
        <v>97</v>
      </c>
      <c r="J12" s="11"/>
      <c r="K12" s="10">
        <f t="shared" si="5"/>
        <v>0</v>
      </c>
    </row>
    <row r="13" spans="2:11" x14ac:dyDescent="0.25">
      <c r="B13" s="3" t="s">
        <v>140</v>
      </c>
      <c r="C13" s="3">
        <v>315</v>
      </c>
      <c r="D13" s="14">
        <f t="shared" si="0"/>
        <v>0.315</v>
      </c>
      <c r="E13" s="10">
        <f t="shared" si="1"/>
        <v>0.1424694708276798</v>
      </c>
      <c r="F13">
        <v>188</v>
      </c>
      <c r="G13" s="11">
        <f t="shared" si="2"/>
        <v>0.188</v>
      </c>
      <c r="H13" s="10">
        <f t="shared" si="3"/>
        <v>0.11197141155449672</v>
      </c>
      <c r="I13">
        <v>151</v>
      </c>
      <c r="J13" s="11">
        <f t="shared" si="4"/>
        <v>0.25166666666666671</v>
      </c>
      <c r="K13" s="10">
        <f t="shared" si="5"/>
        <v>0.14435946462715105</v>
      </c>
    </row>
    <row r="14" spans="2:11" x14ac:dyDescent="0.25">
      <c r="B14" s="3" t="s">
        <v>141</v>
      </c>
      <c r="C14" s="3">
        <v>221</v>
      </c>
      <c r="D14" s="14">
        <f t="shared" si="0"/>
        <v>0.221</v>
      </c>
      <c r="E14" s="10">
        <f t="shared" si="1"/>
        <v>9.9954771596562644E-2</v>
      </c>
      <c r="F14">
        <v>186</v>
      </c>
      <c r="G14" s="11">
        <f t="shared" si="2"/>
        <v>0.186</v>
      </c>
      <c r="H14" s="10">
        <f t="shared" si="3"/>
        <v>0.11078022632519356</v>
      </c>
      <c r="I14">
        <v>106</v>
      </c>
      <c r="J14" s="11">
        <f t="shared" si="4"/>
        <v>0.17666666666666669</v>
      </c>
      <c r="K14" s="10">
        <f t="shared" si="5"/>
        <v>0.10133843212237094</v>
      </c>
    </row>
    <row r="15" spans="2:11" x14ac:dyDescent="0.25">
      <c r="B15" s="3" t="s">
        <v>142</v>
      </c>
      <c r="C15" s="3">
        <v>185</v>
      </c>
      <c r="D15" s="14">
        <f t="shared" si="0"/>
        <v>0.185</v>
      </c>
      <c r="E15" s="10">
        <f t="shared" si="1"/>
        <v>8.3672546359113531E-2</v>
      </c>
      <c r="F15">
        <v>117</v>
      </c>
      <c r="G15" s="11">
        <f t="shared" si="2"/>
        <v>0.11700000000000001</v>
      </c>
      <c r="H15" s="10">
        <f t="shared" si="3"/>
        <v>6.968433591423466E-2</v>
      </c>
      <c r="I15">
        <v>60</v>
      </c>
      <c r="J15" s="11">
        <f t="shared" si="4"/>
        <v>0.1</v>
      </c>
      <c r="K15" s="10">
        <f t="shared" si="5"/>
        <v>5.736137667304015E-2</v>
      </c>
    </row>
    <row r="16" spans="2:11" x14ac:dyDescent="0.25">
      <c r="B16" s="3" t="s">
        <v>143</v>
      </c>
      <c r="C16" s="3">
        <v>36</v>
      </c>
      <c r="D16" s="14">
        <f t="shared" si="0"/>
        <v>3.5999999999999997E-2</v>
      </c>
      <c r="E16" s="10">
        <f t="shared" si="1"/>
        <v>1.6282225237449117E-2</v>
      </c>
      <c r="G16" s="11">
        <f t="shared" si="2"/>
        <v>0</v>
      </c>
      <c r="H16" s="10">
        <f t="shared" si="3"/>
        <v>0</v>
      </c>
      <c r="I16">
        <v>36</v>
      </c>
      <c r="J16" s="11">
        <f t="shared" si="4"/>
        <v>0.06</v>
      </c>
      <c r="K16" s="10">
        <f t="shared" si="5"/>
        <v>3.4416826003824084E-2</v>
      </c>
    </row>
    <row r="17" spans="2:11" x14ac:dyDescent="0.25">
      <c r="B17" s="3" t="s">
        <v>144</v>
      </c>
      <c r="D17" s="14">
        <f t="shared" si="0"/>
        <v>0</v>
      </c>
      <c r="E17" s="10">
        <f t="shared" si="1"/>
        <v>0</v>
      </c>
      <c r="F17">
        <v>71</v>
      </c>
      <c r="G17" s="11">
        <f t="shared" si="2"/>
        <v>7.0999999999999994E-2</v>
      </c>
      <c r="H17" s="10">
        <f t="shared" si="3"/>
        <v>4.2287075640262059E-2</v>
      </c>
      <c r="J17" s="11">
        <f t="shared" si="4"/>
        <v>0</v>
      </c>
      <c r="K17" s="10">
        <f t="shared" si="5"/>
        <v>0</v>
      </c>
    </row>
    <row r="18" spans="2:11" x14ac:dyDescent="0.25">
      <c r="B18" s="3" t="s">
        <v>145</v>
      </c>
      <c r="C18" s="3">
        <v>461</v>
      </c>
      <c r="D18" s="14">
        <f t="shared" si="0"/>
        <v>0.46100000000000002</v>
      </c>
      <c r="E18" s="10">
        <f t="shared" si="1"/>
        <v>0.20850293984622345</v>
      </c>
      <c r="G18" s="11">
        <f t="shared" si="2"/>
        <v>0</v>
      </c>
      <c r="H18" s="10">
        <f t="shared" si="3"/>
        <v>0</v>
      </c>
      <c r="I18">
        <v>461</v>
      </c>
      <c r="J18" s="11">
        <f t="shared" si="4"/>
        <v>0.76833333333333342</v>
      </c>
      <c r="K18" s="10">
        <f t="shared" si="5"/>
        <v>0.44072657743785848</v>
      </c>
    </row>
    <row r="19" spans="2:11" x14ac:dyDescent="0.25">
      <c r="B19" s="3" t="s">
        <v>146</v>
      </c>
      <c r="C19" s="3">
        <v>406</v>
      </c>
      <c r="D19" s="14">
        <f t="shared" si="0"/>
        <v>0.40600000000000003</v>
      </c>
      <c r="E19" s="10">
        <f t="shared" si="1"/>
        <v>0.18362731795567619</v>
      </c>
      <c r="F19">
        <v>406</v>
      </c>
      <c r="G19" s="11">
        <f t="shared" si="2"/>
        <v>0.40600000000000003</v>
      </c>
      <c r="H19" s="10">
        <f t="shared" si="3"/>
        <v>0.24181060154854081</v>
      </c>
      <c r="J19" s="11">
        <f t="shared" si="4"/>
        <v>0</v>
      </c>
      <c r="K19" s="10">
        <f t="shared" si="5"/>
        <v>0</v>
      </c>
    </row>
    <row r="20" spans="2:11" x14ac:dyDescent="0.25">
      <c r="B20" s="3" t="s">
        <v>9</v>
      </c>
      <c r="C20" s="3">
        <f>SUM(C4:C19)</f>
        <v>2211</v>
      </c>
      <c r="D20" s="14">
        <f t="shared" si="0"/>
        <v>2.2109999999999999</v>
      </c>
      <c r="E20" s="10">
        <f t="shared" si="1"/>
        <v>1</v>
      </c>
      <c r="F20">
        <f>SUM(F4:F19)</f>
        <v>1679</v>
      </c>
      <c r="G20" s="11">
        <f>F20/1000</f>
        <v>1.679</v>
      </c>
      <c r="H20" s="10">
        <f>G20/$G$20</f>
        <v>1</v>
      </c>
      <c r="I20">
        <v>1122</v>
      </c>
      <c r="J20" s="11">
        <f>SUM(J4:J19)</f>
        <v>1.7433333333333336</v>
      </c>
      <c r="K20" s="10">
        <f t="shared" si="5"/>
        <v>1</v>
      </c>
    </row>
    <row r="24" spans="2:11" x14ac:dyDescent="0.25">
      <c r="B24" s="6" t="s">
        <v>147</v>
      </c>
      <c r="C24" s="54" t="s">
        <v>148</v>
      </c>
      <c r="D24" s="54"/>
      <c r="E24" s="54"/>
      <c r="F24" s="54" t="s">
        <v>79</v>
      </c>
      <c r="G24" s="54"/>
      <c r="H24" s="54"/>
      <c r="I24" s="55" t="s">
        <v>123</v>
      </c>
      <c r="J24" s="55"/>
      <c r="K24" s="55"/>
    </row>
    <row r="25" spans="2:11" x14ac:dyDescent="0.25">
      <c r="B25" s="15" t="s">
        <v>124</v>
      </c>
      <c r="C25" s="13" t="s">
        <v>129</v>
      </c>
      <c r="D25" s="13"/>
      <c r="E25" s="8" t="s">
        <v>127</v>
      </c>
      <c r="F25" s="7" t="s">
        <v>129</v>
      </c>
      <c r="G25" s="7"/>
      <c r="H25" s="8" t="s">
        <v>127</v>
      </c>
      <c r="I25" s="7" t="s">
        <v>149</v>
      </c>
      <c r="J25" s="7" t="s">
        <v>150</v>
      </c>
      <c r="K25" s="8" t="s">
        <v>127</v>
      </c>
    </row>
    <row r="26" spans="2:11" ht="45" x14ac:dyDescent="0.25">
      <c r="B26" s="3" t="s">
        <v>131</v>
      </c>
      <c r="C26" s="3">
        <v>0.08</v>
      </c>
      <c r="D26" s="56"/>
      <c r="E26" s="10">
        <f>C26/$C$42</f>
        <v>0.04</v>
      </c>
      <c r="F26" s="57"/>
      <c r="G26" s="57"/>
      <c r="H26" s="57"/>
      <c r="I26">
        <f>J26*4</f>
        <v>176</v>
      </c>
      <c r="J26">
        <v>44</v>
      </c>
      <c r="K26" s="10">
        <f t="shared" ref="K26:K33" si="6">I26/$I$42</f>
        <v>0.11548556430446194</v>
      </c>
    </row>
    <row r="27" spans="2:11" x14ac:dyDescent="0.25">
      <c r="B27" s="3" t="s">
        <v>132</v>
      </c>
      <c r="C27" s="3">
        <v>0.06</v>
      </c>
      <c r="D27" s="49"/>
      <c r="E27" s="10">
        <f t="shared" ref="E27:E41" si="7">C27/$C$42</f>
        <v>0.03</v>
      </c>
      <c r="F27" s="50"/>
      <c r="G27" s="50"/>
      <c r="H27" s="50"/>
      <c r="I27">
        <f t="shared" ref="I27:I41" si="8">J27*4</f>
        <v>60</v>
      </c>
      <c r="J27">
        <v>15</v>
      </c>
      <c r="K27" s="10">
        <f t="shared" si="6"/>
        <v>3.937007874015748E-2</v>
      </c>
    </row>
    <row r="28" spans="2:11" x14ac:dyDescent="0.25">
      <c r="B28" s="3" t="s">
        <v>133</v>
      </c>
      <c r="C28" s="3">
        <v>0.05</v>
      </c>
      <c r="D28" s="49"/>
      <c r="E28" s="10">
        <f t="shared" si="7"/>
        <v>2.5000000000000001E-2</v>
      </c>
      <c r="F28" s="50"/>
      <c r="G28" s="50"/>
      <c r="H28" s="50"/>
      <c r="I28">
        <f t="shared" si="8"/>
        <v>0</v>
      </c>
      <c r="J28">
        <v>0</v>
      </c>
      <c r="K28" s="10">
        <f t="shared" si="6"/>
        <v>0</v>
      </c>
    </row>
    <row r="29" spans="2:11" x14ac:dyDescent="0.25">
      <c r="B29" s="3" t="s">
        <v>134</v>
      </c>
      <c r="C29" s="3">
        <v>0.02</v>
      </c>
      <c r="D29" s="49"/>
      <c r="E29" s="10">
        <f t="shared" si="7"/>
        <v>0.01</v>
      </c>
      <c r="F29" s="50"/>
      <c r="G29" s="50"/>
      <c r="H29" s="50"/>
      <c r="I29">
        <f t="shared" si="8"/>
        <v>0</v>
      </c>
      <c r="J29">
        <v>0</v>
      </c>
      <c r="K29" s="10">
        <f t="shared" si="6"/>
        <v>0</v>
      </c>
    </row>
    <row r="30" spans="2:11" x14ac:dyDescent="0.25">
      <c r="B30" s="3" t="s">
        <v>135</v>
      </c>
      <c r="C30" s="3">
        <v>0.03</v>
      </c>
      <c r="D30" s="49"/>
      <c r="E30" s="10">
        <f t="shared" si="7"/>
        <v>1.4999999999999999E-2</v>
      </c>
      <c r="F30" s="50"/>
      <c r="G30" s="50"/>
      <c r="H30" s="50"/>
      <c r="I30">
        <f t="shared" si="8"/>
        <v>0</v>
      </c>
      <c r="J30">
        <v>0</v>
      </c>
      <c r="K30" s="10">
        <f t="shared" si="6"/>
        <v>0</v>
      </c>
    </row>
    <row r="31" spans="2:11" x14ac:dyDescent="0.25">
      <c r="B31" s="3" t="s">
        <v>136</v>
      </c>
      <c r="D31" s="49"/>
      <c r="E31" s="10">
        <f t="shared" si="7"/>
        <v>0</v>
      </c>
      <c r="F31" s="50"/>
      <c r="G31" s="50"/>
      <c r="H31" s="50"/>
      <c r="I31">
        <f t="shared" si="8"/>
        <v>0</v>
      </c>
      <c r="J31">
        <v>0</v>
      </c>
      <c r="K31" s="10">
        <f t="shared" si="6"/>
        <v>0</v>
      </c>
    </row>
    <row r="32" spans="2:11" x14ac:dyDescent="0.25">
      <c r="B32" s="3" t="s">
        <v>137</v>
      </c>
      <c r="D32" s="49"/>
      <c r="E32" s="10">
        <f t="shared" si="7"/>
        <v>0</v>
      </c>
      <c r="F32" s="50"/>
      <c r="G32" s="50"/>
      <c r="H32" s="50"/>
      <c r="I32">
        <f t="shared" si="8"/>
        <v>0</v>
      </c>
      <c r="J32">
        <v>0</v>
      </c>
      <c r="K32" s="10">
        <f t="shared" si="6"/>
        <v>0</v>
      </c>
    </row>
    <row r="33" spans="2:11" x14ac:dyDescent="0.25">
      <c r="B33" s="3" t="s">
        <v>138</v>
      </c>
      <c r="C33" s="3">
        <v>0.09</v>
      </c>
      <c r="D33" s="49"/>
      <c r="E33" s="10">
        <f t="shared" si="7"/>
        <v>4.4999999999999998E-2</v>
      </c>
      <c r="F33" s="50"/>
      <c r="G33" s="50"/>
      <c r="H33" s="50"/>
      <c r="I33">
        <f t="shared" si="8"/>
        <v>60</v>
      </c>
      <c r="J33">
        <v>15</v>
      </c>
      <c r="K33" s="10">
        <f t="shared" si="6"/>
        <v>3.937007874015748E-2</v>
      </c>
    </row>
    <row r="34" spans="2:11" x14ac:dyDescent="0.25">
      <c r="B34" s="3" t="s">
        <v>139</v>
      </c>
      <c r="C34" s="3">
        <v>7.0000000000000007E-2</v>
      </c>
      <c r="D34" s="49"/>
      <c r="E34" s="10">
        <f t="shared" si="7"/>
        <v>3.5000000000000003E-2</v>
      </c>
      <c r="F34" s="50"/>
      <c r="G34" s="50"/>
      <c r="H34" s="50"/>
      <c r="I34">
        <f t="shared" si="8"/>
        <v>0</v>
      </c>
      <c r="J34">
        <v>0</v>
      </c>
      <c r="K34" s="10">
        <f t="shared" ref="K34" si="9">I34/$I$42</f>
        <v>0</v>
      </c>
    </row>
    <row r="35" spans="2:11" x14ac:dyDescent="0.25">
      <c r="B35" s="3" t="s">
        <v>140</v>
      </c>
      <c r="C35" s="3">
        <v>0.16</v>
      </c>
      <c r="D35" s="49"/>
      <c r="E35" s="10">
        <f t="shared" si="7"/>
        <v>0.08</v>
      </c>
      <c r="F35" s="50"/>
      <c r="G35" s="50"/>
      <c r="H35" s="50"/>
      <c r="I35">
        <f t="shared" si="8"/>
        <v>112</v>
      </c>
      <c r="J35">
        <v>28</v>
      </c>
      <c r="K35" s="10">
        <f t="shared" ref="K35:K42" si="10">I35/$I$42</f>
        <v>7.3490813648293962E-2</v>
      </c>
    </row>
    <row r="36" spans="2:11" x14ac:dyDescent="0.25">
      <c r="B36" s="3" t="s">
        <v>141</v>
      </c>
      <c r="C36" s="3">
        <v>0.18</v>
      </c>
      <c r="D36" s="49"/>
      <c r="E36" s="10">
        <f t="shared" si="7"/>
        <v>0.09</v>
      </c>
      <c r="F36" s="50"/>
      <c r="G36" s="50"/>
      <c r="H36" s="50"/>
      <c r="I36">
        <f t="shared" si="8"/>
        <v>96</v>
      </c>
      <c r="J36">
        <v>24</v>
      </c>
      <c r="K36" s="10">
        <f t="shared" si="10"/>
        <v>6.2992125984251968E-2</v>
      </c>
    </row>
    <row r="37" spans="2:11" x14ac:dyDescent="0.25">
      <c r="B37" s="3" t="s">
        <v>142</v>
      </c>
      <c r="C37" s="3">
        <v>0.19</v>
      </c>
      <c r="D37" s="49"/>
      <c r="E37" s="10">
        <f t="shared" si="7"/>
        <v>9.5000000000000001E-2</v>
      </c>
      <c r="F37" s="50"/>
      <c r="G37" s="50"/>
      <c r="H37" s="50"/>
      <c r="I37">
        <f t="shared" si="8"/>
        <v>208</v>
      </c>
      <c r="J37">
        <v>52</v>
      </c>
      <c r="K37" s="10">
        <f t="shared" si="10"/>
        <v>0.13648293963254593</v>
      </c>
    </row>
    <row r="38" spans="2:11" x14ac:dyDescent="0.25">
      <c r="B38" s="3" t="s">
        <v>143</v>
      </c>
      <c r="C38" s="3">
        <v>0.04</v>
      </c>
      <c r="D38" s="49"/>
      <c r="E38" s="10">
        <f t="shared" si="7"/>
        <v>0.02</v>
      </c>
      <c r="F38" s="50"/>
      <c r="G38" s="50"/>
      <c r="H38" s="50"/>
      <c r="I38">
        <f t="shared" si="8"/>
        <v>60</v>
      </c>
      <c r="J38">
        <v>15</v>
      </c>
      <c r="K38" s="10">
        <f t="shared" si="10"/>
        <v>3.937007874015748E-2</v>
      </c>
    </row>
    <row r="39" spans="2:11" x14ac:dyDescent="0.25">
      <c r="B39" s="3" t="s">
        <v>144</v>
      </c>
      <c r="C39" s="3">
        <v>7.0000000000000007E-2</v>
      </c>
      <c r="D39" s="49"/>
      <c r="E39" s="10">
        <f t="shared" si="7"/>
        <v>3.5000000000000003E-2</v>
      </c>
      <c r="F39" s="50"/>
      <c r="G39" s="50"/>
      <c r="H39" s="50"/>
      <c r="I39">
        <f t="shared" si="8"/>
        <v>0</v>
      </c>
      <c r="J39">
        <v>0</v>
      </c>
      <c r="K39" s="10">
        <f t="shared" si="10"/>
        <v>0</v>
      </c>
    </row>
    <row r="40" spans="2:11" x14ac:dyDescent="0.25">
      <c r="B40" s="3" t="s">
        <v>145</v>
      </c>
      <c r="C40" s="3">
        <v>0.43</v>
      </c>
      <c r="D40" s="49"/>
      <c r="E40" s="10">
        <f t="shared" si="7"/>
        <v>0.215</v>
      </c>
      <c r="F40" s="50"/>
      <c r="G40" s="50"/>
      <c r="H40" s="50"/>
      <c r="I40">
        <f t="shared" si="8"/>
        <v>752</v>
      </c>
      <c r="J40">
        <v>188</v>
      </c>
      <c r="K40" s="10">
        <f t="shared" si="10"/>
        <v>0.49343832020997375</v>
      </c>
    </row>
    <row r="41" spans="2:11" x14ac:dyDescent="0.25">
      <c r="B41" s="3" t="s">
        <v>146</v>
      </c>
      <c r="C41" s="3">
        <v>0.53</v>
      </c>
      <c r="D41" s="49"/>
      <c r="E41" s="10">
        <f t="shared" si="7"/>
        <v>0.26500000000000001</v>
      </c>
      <c r="F41" s="50"/>
      <c r="G41" s="50"/>
      <c r="H41" s="50"/>
      <c r="I41">
        <f t="shared" si="8"/>
        <v>0</v>
      </c>
      <c r="J41">
        <v>0</v>
      </c>
      <c r="K41" s="10">
        <f t="shared" si="10"/>
        <v>0</v>
      </c>
    </row>
    <row r="42" spans="2:11" x14ac:dyDescent="0.25">
      <c r="B42" s="3" t="s">
        <v>9</v>
      </c>
      <c r="C42" s="3">
        <f>SUM(C26:C41)</f>
        <v>2</v>
      </c>
      <c r="D42" s="49"/>
      <c r="E42" s="10">
        <f>C42/$C$42</f>
        <v>1</v>
      </c>
      <c r="F42" s="50"/>
      <c r="G42" s="50"/>
      <c r="H42" s="50"/>
      <c r="I42">
        <f>SUM(I26:I41)</f>
        <v>1524</v>
      </c>
      <c r="J42">
        <f>SUM(J26:J41)</f>
        <v>381</v>
      </c>
      <c r="K42" s="10">
        <f t="shared" si="10"/>
        <v>1</v>
      </c>
    </row>
    <row r="46" spans="2:11" x14ac:dyDescent="0.25">
      <c r="B46" s="6" t="s">
        <v>151</v>
      </c>
      <c r="C46" s="54" t="s">
        <v>152</v>
      </c>
      <c r="D46" s="54"/>
      <c r="E46" s="54"/>
      <c r="F46" s="54" t="s">
        <v>79</v>
      </c>
      <c r="G46" s="54"/>
      <c r="H46" s="54"/>
      <c r="I46" s="55" t="s">
        <v>153</v>
      </c>
      <c r="J46" s="55"/>
      <c r="K46" s="55"/>
    </row>
    <row r="47" spans="2:11" x14ac:dyDescent="0.25">
      <c r="B47" s="15" t="s">
        <v>124</v>
      </c>
      <c r="C47" s="13" t="s">
        <v>154</v>
      </c>
      <c r="D47" s="13" t="s">
        <v>155</v>
      </c>
      <c r="E47" s="8" t="s">
        <v>127</v>
      </c>
      <c r="F47" s="7" t="s">
        <v>154</v>
      </c>
      <c r="G47" s="7" t="s">
        <v>155</v>
      </c>
      <c r="H47" s="8" t="s">
        <v>127</v>
      </c>
      <c r="I47" s="7" t="s">
        <v>154</v>
      </c>
      <c r="J47" s="7" t="s">
        <v>155</v>
      </c>
      <c r="K47" s="8" t="s">
        <v>127</v>
      </c>
    </row>
    <row r="48" spans="2:11" x14ac:dyDescent="0.25">
      <c r="B48" s="3" t="s">
        <v>156</v>
      </c>
      <c r="C48" s="3">
        <v>3561</v>
      </c>
      <c r="D48" s="14">
        <f>C48/6000</f>
        <v>0.59350000000000003</v>
      </c>
      <c r="E48" s="10">
        <f>D48/$D$61</f>
        <v>0.11706884081793675</v>
      </c>
      <c r="F48">
        <v>1909</v>
      </c>
      <c r="G48" s="11">
        <f>F48/6000</f>
        <v>0.31816666666666665</v>
      </c>
      <c r="H48" s="10">
        <f>G48/$G$61</f>
        <v>0.105779353909237</v>
      </c>
      <c r="I48">
        <v>1920</v>
      </c>
      <c r="J48" s="11">
        <f>I48/5000</f>
        <v>0.38400000000000001</v>
      </c>
      <c r="K48" s="10">
        <f>J48/$J$61</f>
        <v>0.10244917560429005</v>
      </c>
    </row>
    <row r="49" spans="2:11" x14ac:dyDescent="0.25">
      <c r="B49" s="3" t="s">
        <v>157</v>
      </c>
      <c r="C49" s="3">
        <v>3478</v>
      </c>
      <c r="D49" s="14">
        <f t="shared" ref="D49:D61" si="11">C49/6000</f>
        <v>0.57966666666666666</v>
      </c>
      <c r="E49" s="10">
        <f t="shared" ref="E49:E61" si="12">D49/$D$61</f>
        <v>0.11434019330659478</v>
      </c>
      <c r="F49">
        <v>2991</v>
      </c>
      <c r="G49" s="11">
        <f t="shared" ref="G49:G61" si="13">F49/6000</f>
        <v>0.4985</v>
      </c>
      <c r="H49" s="10">
        <f t="shared" ref="H49:H61" si="14">G49/$G$61</f>
        <v>0.16573391699451434</v>
      </c>
      <c r="I49">
        <v>3829</v>
      </c>
      <c r="J49" s="11">
        <f t="shared" ref="J49:J61" si="15">I49/5000</f>
        <v>0.76580000000000004</v>
      </c>
      <c r="K49" s="10">
        <f t="shared" ref="K49:K61" si="16">J49/$J$61</f>
        <v>0.20431140280668053</v>
      </c>
    </row>
    <row r="50" spans="2:11" x14ac:dyDescent="0.25">
      <c r="B50" s="3" t="s">
        <v>158</v>
      </c>
      <c r="C50" s="3">
        <v>3859</v>
      </c>
      <c r="D50" s="14">
        <f t="shared" si="11"/>
        <v>0.64316666666666666</v>
      </c>
      <c r="E50" s="10">
        <f t="shared" si="12"/>
        <v>0.12686567164179105</v>
      </c>
      <c r="F50">
        <v>1919</v>
      </c>
      <c r="G50" s="11">
        <f t="shared" si="13"/>
        <v>0.31983333333333336</v>
      </c>
      <c r="H50" s="10">
        <f t="shared" si="14"/>
        <v>0.10633346262536711</v>
      </c>
      <c r="I50">
        <v>1940</v>
      </c>
      <c r="J50" s="11">
        <f t="shared" si="15"/>
        <v>0.38800000000000001</v>
      </c>
      <c r="K50" s="10">
        <f t="shared" si="16"/>
        <v>0.10351635451683475</v>
      </c>
    </row>
    <row r="51" spans="2:11" ht="30" x14ac:dyDescent="0.25">
      <c r="B51" s="3" t="s">
        <v>159</v>
      </c>
      <c r="C51" s="3">
        <v>2534</v>
      </c>
      <c r="D51" s="14">
        <f t="shared" si="11"/>
        <v>0.42233333333333334</v>
      </c>
      <c r="E51" s="10">
        <f t="shared" si="12"/>
        <v>8.3305937273982514E-2</v>
      </c>
      <c r="F51">
        <v>1667</v>
      </c>
      <c r="G51" s="11">
        <f t="shared" si="13"/>
        <v>0.27783333333333332</v>
      </c>
      <c r="H51" s="10">
        <f t="shared" si="14"/>
        <v>9.2369922978888463E-2</v>
      </c>
      <c r="I51">
        <v>1209</v>
      </c>
      <c r="J51" s="11">
        <f t="shared" si="15"/>
        <v>0.24179999999999999</v>
      </c>
      <c r="K51" s="10">
        <f t="shared" si="16"/>
        <v>6.4510965263326392E-2</v>
      </c>
    </row>
    <row r="52" spans="2:11" x14ac:dyDescent="0.25">
      <c r="B52" s="3" t="s">
        <v>160</v>
      </c>
      <c r="C52" s="3">
        <v>2352</v>
      </c>
      <c r="D52" s="14">
        <f t="shared" si="11"/>
        <v>0.39200000000000002</v>
      </c>
      <c r="E52" s="10">
        <f t="shared" si="12"/>
        <v>7.7322637911762776E-2</v>
      </c>
      <c r="F52">
        <v>1922</v>
      </c>
      <c r="G52" s="11">
        <f t="shared" si="13"/>
        <v>0.32033333333333336</v>
      </c>
      <c r="H52" s="10">
        <f t="shared" si="14"/>
        <v>0.10649969524020614</v>
      </c>
      <c r="I52">
        <v>1560</v>
      </c>
      <c r="J52" s="11">
        <f t="shared" si="15"/>
        <v>0.312</v>
      </c>
      <c r="K52" s="10">
        <f t="shared" si="16"/>
        <v>8.3239955178485675E-2</v>
      </c>
    </row>
    <row r="53" spans="2:11" x14ac:dyDescent="0.25">
      <c r="B53" s="3" t="s">
        <v>161</v>
      </c>
      <c r="C53" s="3">
        <v>954</v>
      </c>
      <c r="D53" s="14">
        <f t="shared" si="11"/>
        <v>0.159</v>
      </c>
      <c r="E53" s="10">
        <f t="shared" si="12"/>
        <v>3.1363008744822146E-2</v>
      </c>
      <c r="F53">
        <v>491</v>
      </c>
      <c r="G53" s="11">
        <f t="shared" si="13"/>
        <v>8.1833333333333327E-2</v>
      </c>
      <c r="H53" s="10">
        <f t="shared" si="14"/>
        <v>2.7206737961988144E-2</v>
      </c>
      <c r="I53">
        <v>535</v>
      </c>
      <c r="J53" s="11">
        <f t="shared" si="15"/>
        <v>0.107</v>
      </c>
      <c r="K53" s="10">
        <f t="shared" si="16"/>
        <v>2.8547035910570406E-2</v>
      </c>
    </row>
    <row r="54" spans="2:11" x14ac:dyDescent="0.25">
      <c r="B54" s="3" t="s">
        <v>162</v>
      </c>
      <c r="C54" s="3">
        <v>1611</v>
      </c>
      <c r="D54" s="14">
        <f t="shared" si="11"/>
        <v>0.26850000000000002</v>
      </c>
      <c r="E54" s="10">
        <f t="shared" si="12"/>
        <v>5.2962061937010987E-2</v>
      </c>
      <c r="F54">
        <v>1519</v>
      </c>
      <c r="G54" s="11">
        <f t="shared" si="13"/>
        <v>0.25316666666666665</v>
      </c>
      <c r="H54" s="10">
        <f t="shared" si="14"/>
        <v>8.4169113980162913E-2</v>
      </c>
      <c r="I54">
        <v>369</v>
      </c>
      <c r="J54" s="11">
        <f t="shared" si="15"/>
        <v>7.3800000000000004E-2</v>
      </c>
      <c r="K54" s="10">
        <f t="shared" si="16"/>
        <v>1.9689450936449495E-2</v>
      </c>
    </row>
    <row r="55" spans="2:11" x14ac:dyDescent="0.25">
      <c r="B55" s="3" t="s">
        <v>141</v>
      </c>
      <c r="C55" s="3">
        <v>2758</v>
      </c>
      <c r="D55" s="14">
        <f t="shared" si="11"/>
        <v>0.45966666666666667</v>
      </c>
      <c r="E55" s="10">
        <f t="shared" si="12"/>
        <v>9.0669998027483725E-2</v>
      </c>
      <c r="F55">
        <v>1253</v>
      </c>
      <c r="G55" s="11">
        <f t="shared" si="13"/>
        <v>0.20883333333333334</v>
      </c>
      <c r="H55" s="10">
        <f t="shared" si="14"/>
        <v>6.9429822131102131E-2</v>
      </c>
      <c r="I55">
        <v>1507</v>
      </c>
      <c r="J55" s="11">
        <f t="shared" si="15"/>
        <v>0.3014</v>
      </c>
      <c r="K55" s="10">
        <f t="shared" si="16"/>
        <v>8.0411931060242248E-2</v>
      </c>
    </row>
    <row r="56" spans="2:11" x14ac:dyDescent="0.25">
      <c r="B56" s="3" t="s">
        <v>142</v>
      </c>
      <c r="C56" s="3">
        <v>595</v>
      </c>
      <c r="D56" s="14">
        <f t="shared" si="11"/>
        <v>9.9166666666666667E-2</v>
      </c>
      <c r="E56" s="10">
        <f t="shared" si="12"/>
        <v>1.9560786376487605E-2</v>
      </c>
      <c r="F56">
        <v>595</v>
      </c>
      <c r="G56" s="11">
        <f t="shared" si="13"/>
        <v>9.9166666666666667E-2</v>
      </c>
      <c r="H56" s="10">
        <f t="shared" si="14"/>
        <v>3.2969468609741232E-2</v>
      </c>
      <c r="J56" s="11">
        <f t="shared" si="15"/>
        <v>0</v>
      </c>
      <c r="K56" s="10">
        <f t="shared" si="16"/>
        <v>0</v>
      </c>
    </row>
    <row r="57" spans="2:11" x14ac:dyDescent="0.25">
      <c r="B57" s="3" t="s">
        <v>163</v>
      </c>
      <c r="C57" s="3">
        <v>2393</v>
      </c>
      <c r="D57" s="14">
        <f t="shared" si="11"/>
        <v>0.39883333333333332</v>
      </c>
      <c r="E57" s="10">
        <f t="shared" si="12"/>
        <v>7.8670524031823258E-2</v>
      </c>
      <c r="G57" s="11">
        <f t="shared" si="13"/>
        <v>0</v>
      </c>
      <c r="H57" s="10">
        <f t="shared" si="14"/>
        <v>0</v>
      </c>
      <c r="I57">
        <v>2393</v>
      </c>
      <c r="J57" s="11">
        <f t="shared" si="15"/>
        <v>0.47860000000000003</v>
      </c>
      <c r="K57" s="10">
        <f t="shared" si="16"/>
        <v>0.12768795688597193</v>
      </c>
    </row>
    <row r="58" spans="2:11" x14ac:dyDescent="0.25">
      <c r="B58" s="3" t="s">
        <v>164</v>
      </c>
      <c r="D58" s="14">
        <f t="shared" si="11"/>
        <v>0</v>
      </c>
      <c r="E58" s="10">
        <f t="shared" si="12"/>
        <v>0</v>
      </c>
      <c r="F58">
        <v>937</v>
      </c>
      <c r="G58" s="11">
        <f t="shared" si="13"/>
        <v>0.15616666666666668</v>
      </c>
      <c r="H58" s="10">
        <f t="shared" si="14"/>
        <v>5.1919986701390822E-2</v>
      </c>
      <c r="J58" s="11">
        <f t="shared" si="15"/>
        <v>0</v>
      </c>
      <c r="K58" s="10">
        <f t="shared" si="16"/>
        <v>0</v>
      </c>
    </row>
    <row r="59" spans="2:11" x14ac:dyDescent="0.25">
      <c r="B59" s="3" t="s">
        <v>145</v>
      </c>
      <c r="C59" s="3">
        <v>3479</v>
      </c>
      <c r="D59" s="14">
        <f t="shared" si="11"/>
        <v>0.57983333333333331</v>
      </c>
      <c r="E59" s="10">
        <f t="shared" si="12"/>
        <v>0.11437306857781576</v>
      </c>
      <c r="G59" s="11">
        <f t="shared" si="13"/>
        <v>0</v>
      </c>
      <c r="H59" s="10">
        <f t="shared" si="14"/>
        <v>0</v>
      </c>
      <c r="I59">
        <v>3479</v>
      </c>
      <c r="J59" s="11">
        <f t="shared" si="15"/>
        <v>0.69579999999999997</v>
      </c>
      <c r="K59" s="10">
        <f t="shared" si="16"/>
        <v>0.18563577183714849</v>
      </c>
    </row>
    <row r="60" spans="2:11" x14ac:dyDescent="0.25">
      <c r="B60" s="3" t="s">
        <v>165</v>
      </c>
      <c r="C60" s="3">
        <v>2844</v>
      </c>
      <c r="D60" s="14">
        <f t="shared" si="11"/>
        <v>0.47399999999999998</v>
      </c>
      <c r="E60" s="10">
        <f t="shared" si="12"/>
        <v>9.3497271352488656E-2</v>
      </c>
      <c r="F60">
        <v>2844</v>
      </c>
      <c r="G60" s="11">
        <f t="shared" si="13"/>
        <v>0.47399999999999998</v>
      </c>
      <c r="H60" s="10">
        <f t="shared" si="14"/>
        <v>0.1575885188674018</v>
      </c>
      <c r="J60" s="11">
        <f t="shared" si="15"/>
        <v>0</v>
      </c>
      <c r="K60" s="10">
        <f t="shared" si="16"/>
        <v>0</v>
      </c>
    </row>
    <row r="61" spans="2:11" x14ac:dyDescent="0.25">
      <c r="B61" s="3" t="s">
        <v>9</v>
      </c>
      <c r="C61" s="3">
        <f>SUM(C48:C60)</f>
        <v>30418</v>
      </c>
      <c r="D61" s="14">
        <f t="shared" si="11"/>
        <v>5.0696666666666665</v>
      </c>
      <c r="E61" s="10">
        <f t="shared" si="12"/>
        <v>1</v>
      </c>
      <c r="F61">
        <f>SUM(F48:F60)</f>
        <v>18047</v>
      </c>
      <c r="G61" s="11">
        <f t="shared" si="13"/>
        <v>3.0078333333333331</v>
      </c>
      <c r="H61" s="10">
        <f t="shared" si="14"/>
        <v>1</v>
      </c>
      <c r="I61">
        <f>SUM(I48:I60)</f>
        <v>18741</v>
      </c>
      <c r="J61" s="11">
        <f t="shared" si="15"/>
        <v>3.7482000000000002</v>
      </c>
      <c r="K61" s="10">
        <f t="shared" si="16"/>
        <v>1</v>
      </c>
    </row>
    <row r="65" spans="2:4" ht="30" x14ac:dyDescent="0.25">
      <c r="B65" s="3" t="s">
        <v>166</v>
      </c>
      <c r="C65" s="3" t="s">
        <v>167</v>
      </c>
      <c r="D65" s="3" t="s">
        <v>168</v>
      </c>
    </row>
    <row r="66" spans="2:4" x14ac:dyDescent="0.25">
      <c r="B66" s="3" t="s">
        <v>169</v>
      </c>
      <c r="C66" s="3">
        <v>220000</v>
      </c>
      <c r="D66" s="24">
        <f>C66/$C$75</f>
        <v>1.1111111111111112E-2</v>
      </c>
    </row>
    <row r="67" spans="2:4" x14ac:dyDescent="0.25">
      <c r="B67" s="3" t="s">
        <v>170</v>
      </c>
      <c r="C67" s="3">
        <v>200000</v>
      </c>
      <c r="D67" s="24">
        <f t="shared" ref="D67:D75" si="17">C67/$C$75</f>
        <v>1.0101010101010102E-2</v>
      </c>
    </row>
    <row r="68" spans="2:4" x14ac:dyDescent="0.25">
      <c r="B68" s="3" t="s">
        <v>171</v>
      </c>
      <c r="C68" s="3">
        <v>470000</v>
      </c>
      <c r="D68" s="24">
        <f t="shared" si="17"/>
        <v>2.3737373737373738E-2</v>
      </c>
    </row>
    <row r="69" spans="2:4" x14ac:dyDescent="0.25">
      <c r="B69" s="3" t="s">
        <v>172</v>
      </c>
      <c r="C69" s="3">
        <v>2000000</v>
      </c>
      <c r="D69" s="24">
        <f t="shared" si="17"/>
        <v>0.10101010101010101</v>
      </c>
    </row>
    <row r="70" spans="2:4" x14ac:dyDescent="0.25">
      <c r="B70" s="3" t="s">
        <v>173</v>
      </c>
      <c r="C70" s="3">
        <v>1400000</v>
      </c>
      <c r="D70" s="24">
        <f t="shared" si="17"/>
        <v>7.0707070707070704E-2</v>
      </c>
    </row>
    <row r="71" spans="2:4" x14ac:dyDescent="0.25">
      <c r="B71" s="3" t="s">
        <v>174</v>
      </c>
      <c r="C71" s="3">
        <v>4800000</v>
      </c>
      <c r="D71" s="24">
        <f t="shared" si="17"/>
        <v>0.24242424242424243</v>
      </c>
    </row>
    <row r="72" spans="2:4" x14ac:dyDescent="0.25">
      <c r="B72" s="3" t="s">
        <v>175</v>
      </c>
      <c r="C72" s="3">
        <v>6500000</v>
      </c>
      <c r="D72" s="24">
        <f t="shared" si="17"/>
        <v>0.32828282828282829</v>
      </c>
    </row>
    <row r="73" spans="2:4" ht="30" x14ac:dyDescent="0.25">
      <c r="B73" s="3" t="s">
        <v>176</v>
      </c>
      <c r="C73" s="3">
        <v>4000000</v>
      </c>
      <c r="D73" s="24">
        <f t="shared" si="17"/>
        <v>0.20202020202020202</v>
      </c>
    </row>
    <row r="74" spans="2:4" x14ac:dyDescent="0.25">
      <c r="B74" s="3" t="s">
        <v>177</v>
      </c>
      <c r="C74" s="3">
        <v>210000</v>
      </c>
      <c r="D74" s="24">
        <f t="shared" si="17"/>
        <v>1.0606060606060607E-2</v>
      </c>
    </row>
    <row r="75" spans="2:4" x14ac:dyDescent="0.25">
      <c r="B75" s="3" t="s">
        <v>9</v>
      </c>
      <c r="C75" s="3">
        <v>19800000</v>
      </c>
      <c r="D75" s="24">
        <f t="shared" si="17"/>
        <v>1</v>
      </c>
    </row>
    <row r="76" spans="2:4" x14ac:dyDescent="0.25">
      <c r="B76" s="3" t="s">
        <v>178</v>
      </c>
      <c r="C76" s="3">
        <f>C75/2450000</f>
        <v>8.0816326530612237</v>
      </c>
    </row>
    <row r="78" spans="2:4" x14ac:dyDescent="0.25">
      <c r="C78"/>
    </row>
    <row r="79" spans="2:4" x14ac:dyDescent="0.25">
      <c r="B79" s="1" t="s">
        <v>179</v>
      </c>
      <c r="C79" s="50" t="s">
        <v>79</v>
      </c>
      <c r="D79" s="50"/>
    </row>
    <row r="80" spans="2:4" ht="30" x14ac:dyDescent="0.25">
      <c r="B80" s="3" t="s">
        <v>180</v>
      </c>
      <c r="C80" s="3" t="s">
        <v>181</v>
      </c>
      <c r="D80" s="3" t="s">
        <v>168</v>
      </c>
    </row>
    <row r="81" spans="2:4" x14ac:dyDescent="0.25">
      <c r="B81" s="3" t="s">
        <v>165</v>
      </c>
      <c r="C81" s="3">
        <v>0.98571428571428565</v>
      </c>
      <c r="D81" s="24">
        <f>C81/$C$88</f>
        <v>0.25842696629213485</v>
      </c>
    </row>
    <row r="82" spans="2:4" x14ac:dyDescent="0.25">
      <c r="B82" s="3" t="s">
        <v>182</v>
      </c>
      <c r="C82" s="3">
        <v>0.38571428571428573</v>
      </c>
      <c r="D82" s="24">
        <f t="shared" ref="D82:D88" si="18">C82/$C$88</f>
        <v>0.10112359550561799</v>
      </c>
    </row>
    <row r="83" spans="2:4" x14ac:dyDescent="0.25">
      <c r="B83" s="3" t="s">
        <v>183</v>
      </c>
      <c r="C83" s="3">
        <v>0.38571428571428573</v>
      </c>
      <c r="D83" s="24">
        <f t="shared" si="18"/>
        <v>0.10112359550561799</v>
      </c>
    </row>
    <row r="84" spans="2:4" x14ac:dyDescent="0.25">
      <c r="B84" s="3" t="s">
        <v>184</v>
      </c>
      <c r="C84" s="3">
        <v>0.5714285714285714</v>
      </c>
      <c r="D84" s="24">
        <f t="shared" si="18"/>
        <v>0.14981273408239701</v>
      </c>
    </row>
    <row r="85" spans="2:4" x14ac:dyDescent="0.25">
      <c r="B85" s="3" t="s">
        <v>185</v>
      </c>
      <c r="C85" s="3">
        <v>0.91428571428571437</v>
      </c>
      <c r="D85" s="24">
        <f t="shared" si="18"/>
        <v>0.23970037453183524</v>
      </c>
    </row>
    <row r="86" spans="2:4" x14ac:dyDescent="0.25">
      <c r="B86" s="3" t="s">
        <v>186</v>
      </c>
      <c r="C86" s="3">
        <v>0.18571428571428572</v>
      </c>
      <c r="D86" s="24">
        <f t="shared" si="18"/>
        <v>4.8689138576779034E-2</v>
      </c>
    </row>
    <row r="87" spans="2:4" x14ac:dyDescent="0.25">
      <c r="B87" s="3" t="s">
        <v>187</v>
      </c>
      <c r="C87" s="3">
        <v>0.38571428571428573</v>
      </c>
      <c r="D87" s="24">
        <f t="shared" si="18"/>
        <v>0.10112359550561799</v>
      </c>
    </row>
    <row r="88" spans="2:4" x14ac:dyDescent="0.25">
      <c r="B88" s="3" t="s">
        <v>9</v>
      </c>
      <c r="C88" s="3">
        <v>3.8142857142857141</v>
      </c>
      <c r="D88" s="24">
        <f t="shared" si="18"/>
        <v>1</v>
      </c>
    </row>
  </sheetData>
  <mergeCells count="12">
    <mergeCell ref="C2:E2"/>
    <mergeCell ref="F2:H2"/>
    <mergeCell ref="I2:K2"/>
    <mergeCell ref="C24:E24"/>
    <mergeCell ref="F24:H24"/>
    <mergeCell ref="I24:K24"/>
    <mergeCell ref="C79:D79"/>
    <mergeCell ref="C46:E46"/>
    <mergeCell ref="F46:H46"/>
    <mergeCell ref="I46:K46"/>
    <mergeCell ref="D26:D42"/>
    <mergeCell ref="F26:H42"/>
  </mergeCells>
  <hyperlinks>
    <hyperlink ref="B2" r:id="rId1" xr:uid="{00000000-0004-0000-0400-000000000000}"/>
    <hyperlink ref="B24" r:id="rId2" xr:uid="{00000000-0004-0000-0400-000001000000}"/>
    <hyperlink ref="B46" r:id="rId3" xr:uid="{00000000-0004-0000-0400-000002000000}"/>
    <hyperlink ref="B79" r:id="rId4" xr:uid="{00000000-0004-0000-0400-000003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6"/>
  <sheetViews>
    <sheetView showGridLines="0" workbookViewId="0"/>
  </sheetViews>
  <sheetFormatPr defaultRowHeight="15" x14ac:dyDescent="0.25"/>
  <cols>
    <col min="1" max="1" width="24.42578125" customWidth="1"/>
    <col min="2" max="2" width="25.28515625" customWidth="1"/>
    <col min="3" max="3" width="18.85546875" customWidth="1"/>
    <col min="4" max="4" width="19.7109375" customWidth="1"/>
  </cols>
  <sheetData>
    <row r="1" spans="1:5" x14ac:dyDescent="0.25">
      <c r="A1" t="s">
        <v>188</v>
      </c>
      <c r="C1" t="s">
        <v>189</v>
      </c>
      <c r="E1" t="s">
        <v>190</v>
      </c>
    </row>
    <row r="2" spans="1:5" x14ac:dyDescent="0.25">
      <c r="A2" s="2" t="s">
        <v>191</v>
      </c>
      <c r="C2" s="1" t="s">
        <v>192</v>
      </c>
    </row>
    <row r="3" spans="1:5" x14ac:dyDescent="0.25">
      <c r="A3" s="3" t="s">
        <v>193</v>
      </c>
      <c r="B3">
        <v>61300000</v>
      </c>
    </row>
    <row r="4" spans="1:5" x14ac:dyDescent="0.25">
      <c r="A4" s="3" t="s">
        <v>194</v>
      </c>
      <c r="B4" s="11">
        <f>B3/36000000</f>
        <v>1.7027777777777777</v>
      </c>
    </row>
    <row r="5" spans="1:5" s="41" customFormat="1" x14ac:dyDescent="0.25">
      <c r="A5" s="42"/>
    </row>
    <row r="6" spans="1:5" x14ac:dyDescent="0.25">
      <c r="A6" s="16" t="s">
        <v>195</v>
      </c>
      <c r="B6" t="s">
        <v>196</v>
      </c>
      <c r="C6" t="s">
        <v>197</v>
      </c>
    </row>
    <row r="7" spans="1:5" x14ac:dyDescent="0.25">
      <c r="A7" s="3" t="s">
        <v>198</v>
      </c>
      <c r="B7">
        <f>C7</f>
        <v>46000000</v>
      </c>
      <c r="C7">
        <v>46000000</v>
      </c>
    </row>
    <row r="8" spans="1:5" x14ac:dyDescent="0.25">
      <c r="A8" s="3" t="s">
        <v>199</v>
      </c>
      <c r="B8" s="11">
        <f>B7/12500000</f>
        <v>3.68</v>
      </c>
    </row>
    <row r="9" spans="1:5" s="41" customFormat="1" x14ac:dyDescent="0.25"/>
    <row r="10" spans="1:5" x14ac:dyDescent="0.25">
      <c r="A10" s="26" t="s">
        <v>200</v>
      </c>
      <c r="C10" s="1" t="s">
        <v>201</v>
      </c>
      <c r="E10" s="3"/>
    </row>
    <row r="11" spans="1:5" x14ac:dyDescent="0.25">
      <c r="A11" s="3" t="s">
        <v>202</v>
      </c>
      <c r="B11">
        <v>38585831</v>
      </c>
    </row>
    <row r="12" spans="1:5" x14ac:dyDescent="0.25">
      <c r="A12" t="s">
        <v>203</v>
      </c>
      <c r="B12">
        <v>7400000</v>
      </c>
    </row>
    <row r="13" spans="1:5" x14ac:dyDescent="0.25">
      <c r="A13" t="s">
        <v>204</v>
      </c>
      <c r="B13">
        <v>7500000</v>
      </c>
    </row>
    <row r="14" spans="1:5" x14ac:dyDescent="0.25">
      <c r="A14" t="s">
        <v>205</v>
      </c>
      <c r="B14">
        <v>5400000</v>
      </c>
    </row>
    <row r="15" spans="1:5" x14ac:dyDescent="0.25">
      <c r="A15" t="s">
        <v>206</v>
      </c>
      <c r="B15">
        <v>1500000</v>
      </c>
    </row>
    <row r="16" spans="1:5" x14ac:dyDescent="0.25">
      <c r="A16" t="s">
        <v>207</v>
      </c>
      <c r="B16">
        <f>SUM(B11:B15)</f>
        <v>60385831</v>
      </c>
    </row>
    <row r="18" spans="1:6" x14ac:dyDescent="0.25">
      <c r="A18" t="s">
        <v>208</v>
      </c>
      <c r="B18">
        <f>(SUM(B12,B14,B15)/2+B11)/12500000</f>
        <v>3.6588664799999999</v>
      </c>
    </row>
    <row r="19" spans="1:6" x14ac:dyDescent="0.25">
      <c r="A19" t="s">
        <v>209</v>
      </c>
      <c r="B19">
        <f>(SUM(B12,B14,B15)/2+B13)/6000000</f>
        <v>2.4416666666666669</v>
      </c>
    </row>
    <row r="20" spans="1:6" x14ac:dyDescent="0.25">
      <c r="A20" t="s">
        <v>178</v>
      </c>
      <c r="B20">
        <f>B16/12000000</f>
        <v>5.0321525833333336</v>
      </c>
    </row>
    <row r="21" spans="1:6" x14ac:dyDescent="0.25">
      <c r="A21" t="s">
        <v>210</v>
      </c>
    </row>
    <row r="22" spans="1:6" s="41" customFormat="1" x14ac:dyDescent="0.25"/>
    <row r="23" spans="1:6" x14ac:dyDescent="0.25">
      <c r="A23" s="16" t="s">
        <v>211</v>
      </c>
      <c r="C23" s="1" t="s">
        <v>212</v>
      </c>
    </row>
    <row r="24" spans="1:6" x14ac:dyDescent="0.25">
      <c r="A24" s="3" t="s">
        <v>29</v>
      </c>
      <c r="B24">
        <v>41200000</v>
      </c>
    </row>
    <row r="25" spans="1:6" x14ac:dyDescent="0.25">
      <c r="A25" s="26" t="s">
        <v>213</v>
      </c>
      <c r="B25">
        <f>B24/12000000</f>
        <v>3.4333333333333331</v>
      </c>
    </row>
    <row r="26" spans="1:6" s="41" customFormat="1" x14ac:dyDescent="0.25"/>
    <row r="27" spans="1:6" x14ac:dyDescent="0.25">
      <c r="A27" s="20" t="s">
        <v>214</v>
      </c>
      <c r="B27" t="s">
        <v>215</v>
      </c>
      <c r="C27" t="s">
        <v>35</v>
      </c>
      <c r="D27" t="s">
        <v>216</v>
      </c>
      <c r="E27" t="s">
        <v>217</v>
      </c>
      <c r="F27" t="s">
        <v>218</v>
      </c>
    </row>
    <row r="28" spans="1:6" x14ac:dyDescent="0.25">
      <c r="A28" s="22" t="s">
        <v>219</v>
      </c>
      <c r="B28" s="23">
        <v>1472.9031714988248</v>
      </c>
      <c r="C28" s="11">
        <f t="shared" ref="C28:C39" si="0">B28/1000</f>
        <v>1.4729031714988248</v>
      </c>
      <c r="D28" s="11">
        <f>C28/(1-0.4)</f>
        <v>2.454838619164708</v>
      </c>
      <c r="E28">
        <v>42</v>
      </c>
      <c r="F28">
        <f>E28/1000</f>
        <v>4.2000000000000003E-2</v>
      </c>
    </row>
    <row r="29" spans="1:6" x14ac:dyDescent="0.25">
      <c r="A29" s="21" t="s">
        <v>220</v>
      </c>
      <c r="B29" s="23">
        <v>1632.254027889084</v>
      </c>
      <c r="C29" s="11">
        <f t="shared" si="0"/>
        <v>1.632254027889084</v>
      </c>
      <c r="D29" s="11">
        <f>C29/(1-0.4)</f>
        <v>2.72042337981514</v>
      </c>
      <c r="E29">
        <v>28</v>
      </c>
      <c r="F29">
        <f t="shared" ref="F29:F39" si="1">E29/1000</f>
        <v>2.8000000000000001E-2</v>
      </c>
    </row>
    <row r="30" spans="1:6" x14ac:dyDescent="0.25">
      <c r="A30" s="22" t="s">
        <v>221</v>
      </c>
      <c r="B30" s="23">
        <v>1984.4392569462527</v>
      </c>
      <c r="C30" s="11">
        <f t="shared" si="0"/>
        <v>1.9844392569462528</v>
      </c>
      <c r="D30" s="11">
        <f>C30/(1-0.3-0.35)</f>
        <v>5.6698264484178651</v>
      </c>
      <c r="E30">
        <v>25</v>
      </c>
      <c r="F30">
        <f t="shared" si="1"/>
        <v>2.5000000000000001E-2</v>
      </c>
    </row>
    <row r="31" spans="1:6" x14ac:dyDescent="0.25">
      <c r="A31" s="22" t="s">
        <v>222</v>
      </c>
      <c r="B31" s="23">
        <v>2749.41002161912</v>
      </c>
      <c r="C31" s="11">
        <f t="shared" si="0"/>
        <v>2.74941002161912</v>
      </c>
      <c r="D31" s="11">
        <f>C31/(1-0.26-0.35)</f>
        <v>7.0497692862028716</v>
      </c>
      <c r="E31">
        <v>36</v>
      </c>
      <c r="F31">
        <f t="shared" si="1"/>
        <v>3.5999999999999997E-2</v>
      </c>
    </row>
    <row r="32" spans="1:6" x14ac:dyDescent="0.25">
      <c r="A32" s="22" t="s">
        <v>223</v>
      </c>
      <c r="B32" s="23">
        <v>645.11975216783276</v>
      </c>
      <c r="C32" s="11">
        <f t="shared" si="0"/>
        <v>0.64511975216783279</v>
      </c>
      <c r="D32" s="11">
        <f>C32/(1-0.3)</f>
        <v>0.92159964595404686</v>
      </c>
      <c r="E32">
        <v>36</v>
      </c>
      <c r="F32">
        <f t="shared" si="1"/>
        <v>3.5999999999999997E-2</v>
      </c>
    </row>
    <row r="33" spans="1:6" x14ac:dyDescent="0.25">
      <c r="A33" s="22" t="s">
        <v>224</v>
      </c>
      <c r="B33" s="23">
        <v>320.383469340489</v>
      </c>
      <c r="C33" s="11">
        <f t="shared" si="0"/>
        <v>0.320383469340489</v>
      </c>
      <c r="D33" s="11">
        <f>C33/(1-0.3)</f>
        <v>0.45769067048641288</v>
      </c>
    </row>
    <row r="34" spans="1:6" x14ac:dyDescent="0.25">
      <c r="A34" s="22" t="s">
        <v>225</v>
      </c>
      <c r="B34" s="23">
        <v>324.73628282734381</v>
      </c>
      <c r="C34" s="11">
        <f t="shared" si="0"/>
        <v>0.32473628282734379</v>
      </c>
      <c r="D34" s="11">
        <f>C34/(1-0.3)</f>
        <v>0.46390897546763404</v>
      </c>
    </row>
    <row r="35" spans="1:6" x14ac:dyDescent="0.25">
      <c r="A35" s="22" t="s">
        <v>226</v>
      </c>
      <c r="B35" s="23">
        <v>1076.2780028820055</v>
      </c>
      <c r="C35" s="11">
        <f t="shared" si="0"/>
        <v>1.0762780028820054</v>
      </c>
      <c r="D35" s="11">
        <f>C35/(1-0.3)</f>
        <v>1.5375400041171505</v>
      </c>
    </row>
    <row r="36" spans="1:6" x14ac:dyDescent="0.25">
      <c r="A36" s="22" t="s">
        <v>227</v>
      </c>
      <c r="B36" s="23">
        <v>2152.5560057640109</v>
      </c>
      <c r="C36" s="11">
        <f t="shared" si="0"/>
        <v>2.1525560057640107</v>
      </c>
      <c r="D36" s="11">
        <f t="shared" ref="D36:D39" si="2">C36/(1-0.3)</f>
        <v>3.0750800082343011</v>
      </c>
      <c r="E36">
        <v>38</v>
      </c>
      <c r="F36">
        <f t="shared" si="1"/>
        <v>3.7999999999999999E-2</v>
      </c>
    </row>
    <row r="37" spans="1:6" x14ac:dyDescent="0.25">
      <c r="A37" s="22" t="s">
        <v>228</v>
      </c>
      <c r="B37" s="23">
        <v>2903.6453612035739</v>
      </c>
      <c r="C37" s="11">
        <f t="shared" si="0"/>
        <v>2.9036453612035737</v>
      </c>
      <c r="D37" s="11">
        <f t="shared" si="2"/>
        <v>4.1480648017193911</v>
      </c>
      <c r="E37">
        <v>38</v>
      </c>
      <c r="F37">
        <f t="shared" si="1"/>
        <v>3.7999999999999999E-2</v>
      </c>
    </row>
    <row r="38" spans="1:6" x14ac:dyDescent="0.25">
      <c r="A38" s="22" t="s">
        <v>229</v>
      </c>
      <c r="B38" s="23">
        <v>5807.2907224071478</v>
      </c>
      <c r="C38" s="11">
        <f t="shared" si="0"/>
        <v>5.8072907224071475</v>
      </c>
      <c r="D38" s="11">
        <f t="shared" si="2"/>
        <v>8.2961296034387821</v>
      </c>
      <c r="E38">
        <v>122</v>
      </c>
      <c r="F38">
        <f t="shared" si="1"/>
        <v>0.122</v>
      </c>
    </row>
    <row r="39" spans="1:6" x14ac:dyDescent="0.25">
      <c r="A39" s="21"/>
      <c r="B39" s="23">
        <v>1472.9031714988248</v>
      </c>
      <c r="C39" s="11">
        <f t="shared" si="0"/>
        <v>1.4729031714988248</v>
      </c>
      <c r="D39" s="11">
        <f t="shared" si="2"/>
        <v>2.104147387855464</v>
      </c>
      <c r="E39">
        <v>122</v>
      </c>
      <c r="F39">
        <f t="shared" si="1"/>
        <v>0.122</v>
      </c>
    </row>
    <row r="40" spans="1:6" x14ac:dyDescent="0.25">
      <c r="A40" s="21"/>
      <c r="B40" s="23"/>
    </row>
    <row r="41" spans="1:6" x14ac:dyDescent="0.25">
      <c r="A41" s="21" t="s">
        <v>230</v>
      </c>
      <c r="C41" s="11">
        <f>SUM(C32,C28)</f>
        <v>2.1180229236666577</v>
      </c>
      <c r="D41" s="11">
        <f>SUM(D32,D28)</f>
        <v>3.3764382651187548</v>
      </c>
    </row>
    <row r="42" spans="1:6" s="41" customFormat="1" x14ac:dyDescent="0.25"/>
    <row r="43" spans="1:6" x14ac:dyDescent="0.25">
      <c r="A43" s="16" t="s">
        <v>231</v>
      </c>
      <c r="B43" t="s">
        <v>196</v>
      </c>
      <c r="C43" s="1" t="s">
        <v>232</v>
      </c>
    </row>
    <row r="44" spans="1:6" ht="30" x14ac:dyDescent="0.25">
      <c r="A44" s="3" t="s">
        <v>233</v>
      </c>
      <c r="B44">
        <f>SUM(C44:C46)</f>
        <v>33072998</v>
      </c>
      <c r="C44">
        <v>6569498</v>
      </c>
    </row>
    <row r="45" spans="1:6" x14ac:dyDescent="0.25">
      <c r="A45" s="3" t="s">
        <v>234</v>
      </c>
      <c r="B45" s="25">
        <f>B44/60000000</f>
        <v>0.55121663333333337</v>
      </c>
      <c r="C45">
        <v>203500</v>
      </c>
    </row>
    <row r="46" spans="1:6" ht="75" x14ac:dyDescent="0.25">
      <c r="A46" s="3" t="s">
        <v>235</v>
      </c>
      <c r="B46">
        <f>68000000/60000000</f>
        <v>1.1333333333333333</v>
      </c>
      <c r="C46">
        <v>26300000</v>
      </c>
    </row>
    <row r="49" spans="1:4" ht="90" x14ac:dyDescent="0.25">
      <c r="A49" s="2" t="s">
        <v>236</v>
      </c>
    </row>
    <row r="50" spans="1:4" s="41" customFormat="1" x14ac:dyDescent="0.25"/>
    <row r="51" spans="1:4" x14ac:dyDescent="0.25">
      <c r="A51" s="17" t="s">
        <v>237</v>
      </c>
      <c r="B51" s="3"/>
    </row>
    <row r="52" spans="1:4" x14ac:dyDescent="0.25">
      <c r="A52" t="s">
        <v>238</v>
      </c>
      <c r="B52" t="s">
        <v>239</v>
      </c>
    </row>
    <row r="53" spans="1:4" x14ac:dyDescent="0.25">
      <c r="A53" t="s">
        <v>240</v>
      </c>
      <c r="B53" t="s">
        <v>241</v>
      </c>
    </row>
    <row r="54" spans="1:4" x14ac:dyDescent="0.25">
      <c r="A54" t="s">
        <v>242</v>
      </c>
      <c r="B54" t="s">
        <v>243</v>
      </c>
    </row>
    <row r="55" spans="1:4" x14ac:dyDescent="0.25">
      <c r="A55" t="s">
        <v>244</v>
      </c>
      <c r="B55">
        <v>19800000</v>
      </c>
    </row>
    <row r="57" spans="1:4" x14ac:dyDescent="0.25">
      <c r="A57" t="s">
        <v>245</v>
      </c>
      <c r="B57">
        <f>B55/2450000</f>
        <v>8.0816326530612237</v>
      </c>
    </row>
    <row r="58" spans="1:4" s="41" customFormat="1" x14ac:dyDescent="0.25"/>
    <row r="59" spans="1:4" x14ac:dyDescent="0.25">
      <c r="A59" s="17" t="s">
        <v>246</v>
      </c>
      <c r="B59" t="s">
        <v>35</v>
      </c>
      <c r="C59" t="s">
        <v>215</v>
      </c>
      <c r="D59" t="s">
        <v>247</v>
      </c>
    </row>
    <row r="60" spans="1:4" x14ac:dyDescent="0.25">
      <c r="A60" t="s">
        <v>248</v>
      </c>
      <c r="B60">
        <f>C60/1000</f>
        <v>1.145</v>
      </c>
      <c r="C60">
        <v>1145</v>
      </c>
      <c r="D60">
        <f>C60*1000</f>
        <v>1145000</v>
      </c>
    </row>
    <row r="61" spans="1:4" x14ac:dyDescent="0.25">
      <c r="B61" t="s">
        <v>249</v>
      </c>
      <c r="C61" t="s">
        <v>150</v>
      </c>
      <c r="D61" t="s">
        <v>250</v>
      </c>
    </row>
    <row r="62" spans="1:4" x14ac:dyDescent="0.25">
      <c r="A62" t="s">
        <v>251</v>
      </c>
      <c r="B62">
        <f>C62/1000</f>
        <v>0.24399999999999999</v>
      </c>
      <c r="C62">
        <v>244</v>
      </c>
      <c r="D62">
        <f>C62*1000</f>
        <v>244000</v>
      </c>
    </row>
    <row r="63" spans="1:4" x14ac:dyDescent="0.25">
      <c r="B63" t="s">
        <v>35</v>
      </c>
      <c r="C63" t="s">
        <v>215</v>
      </c>
      <c r="D63" t="s">
        <v>247</v>
      </c>
    </row>
    <row r="64" spans="1:4" x14ac:dyDescent="0.25">
      <c r="B64">
        <f>B62*4</f>
        <v>0.97599999999999998</v>
      </c>
      <c r="C64">
        <f t="shared" ref="C64:D64" si="3">C62*4</f>
        <v>976</v>
      </c>
      <c r="D64">
        <f t="shared" si="3"/>
        <v>976000</v>
      </c>
    </row>
    <row r="65" spans="1:4" s="41" customFormat="1" x14ac:dyDescent="0.25"/>
    <row r="66" spans="1:4" x14ac:dyDescent="0.25">
      <c r="A66" s="17" t="s">
        <v>252</v>
      </c>
      <c r="B66" t="s">
        <v>35</v>
      </c>
      <c r="C66" t="s">
        <v>215</v>
      </c>
      <c r="D66" t="s">
        <v>247</v>
      </c>
    </row>
    <row r="67" spans="1:4" x14ac:dyDescent="0.25">
      <c r="A67" t="s">
        <v>253</v>
      </c>
      <c r="B67">
        <v>1.08</v>
      </c>
      <c r="C67">
        <f>B67*1000</f>
        <v>1080</v>
      </c>
      <c r="D67">
        <f t="shared" ref="D67:D69" si="4">C67*1000</f>
        <v>1080000</v>
      </c>
    </row>
    <row r="68" spans="1:4" x14ac:dyDescent="0.25">
      <c r="A68" t="s">
        <v>254</v>
      </c>
      <c r="B68">
        <v>1.5</v>
      </c>
      <c r="C68">
        <f>B68*1000</f>
        <v>1500</v>
      </c>
      <c r="D68">
        <f t="shared" si="4"/>
        <v>1500000</v>
      </c>
    </row>
    <row r="69" spans="1:4" x14ac:dyDescent="0.25">
      <c r="A69" t="s">
        <v>255</v>
      </c>
      <c r="B69">
        <v>3.24</v>
      </c>
      <c r="C69">
        <f>B69*1000</f>
        <v>3240</v>
      </c>
      <c r="D69">
        <f t="shared" si="4"/>
        <v>3240000</v>
      </c>
    </row>
    <row r="70" spans="1:4" x14ac:dyDescent="0.25">
      <c r="B70" t="s">
        <v>249</v>
      </c>
      <c r="C70" t="s">
        <v>150</v>
      </c>
      <c r="D70" t="s">
        <v>250</v>
      </c>
    </row>
    <row r="71" spans="1:4" x14ac:dyDescent="0.25">
      <c r="A71" t="s">
        <v>256</v>
      </c>
      <c r="B71">
        <f>C71/1000</f>
        <v>0.32030000000000003</v>
      </c>
      <c r="C71">
        <v>320.3</v>
      </c>
      <c r="D71">
        <f>C71*1000</f>
        <v>320300</v>
      </c>
    </row>
    <row r="72" spans="1:4" x14ac:dyDescent="0.25">
      <c r="A72" t="s">
        <v>257</v>
      </c>
      <c r="B72">
        <f t="shared" ref="B72" si="5">C72/1000</f>
        <v>0.35992000000000002</v>
      </c>
      <c r="C72">
        <v>359.92</v>
      </c>
      <c r="D72">
        <f>C72*1000</f>
        <v>359920</v>
      </c>
    </row>
    <row r="74" spans="1:4" x14ac:dyDescent="0.25">
      <c r="B74" t="s">
        <v>35</v>
      </c>
      <c r="C74" t="s">
        <v>215</v>
      </c>
      <c r="D74" t="s">
        <v>247</v>
      </c>
    </row>
    <row r="75" spans="1:4" x14ac:dyDescent="0.25">
      <c r="A75" t="s">
        <v>256</v>
      </c>
      <c r="B75">
        <f t="shared" ref="B75:D76" si="6">B71*4</f>
        <v>1.2812000000000001</v>
      </c>
      <c r="C75">
        <f t="shared" si="6"/>
        <v>1281.2</v>
      </c>
      <c r="D75">
        <f t="shared" si="6"/>
        <v>1281200</v>
      </c>
    </row>
    <row r="76" spans="1:4" x14ac:dyDescent="0.25">
      <c r="A76" t="s">
        <v>257</v>
      </c>
      <c r="B76">
        <f t="shared" si="6"/>
        <v>1.4396800000000001</v>
      </c>
      <c r="C76">
        <f t="shared" si="6"/>
        <v>1439.68</v>
      </c>
      <c r="D76">
        <f t="shared" si="6"/>
        <v>1439680</v>
      </c>
    </row>
  </sheetData>
  <hyperlinks>
    <hyperlink ref="A2" r:id="rId1" xr:uid="{00000000-0004-0000-0500-000000000000}"/>
    <hyperlink ref="C2" r:id="rId2" xr:uid="{00000000-0004-0000-0500-000001000000}"/>
    <hyperlink ref="A6" r:id="rId3" xr:uid="{00000000-0004-0000-0500-000002000000}"/>
    <hyperlink ref="C10" r:id="rId4" xr:uid="{00000000-0004-0000-0500-000003000000}"/>
    <hyperlink ref="A23" r:id="rId5" xr:uid="{00000000-0004-0000-0500-000004000000}"/>
    <hyperlink ref="C23" r:id="rId6" xr:uid="{00000000-0004-0000-0500-000005000000}"/>
    <hyperlink ref="A27" r:id="rId7" xr:uid="{00000000-0004-0000-0500-000006000000}"/>
    <hyperlink ref="A43" r:id="rId8" xr:uid="{00000000-0004-0000-0500-000007000000}"/>
    <hyperlink ref="C43" r:id="rId9" xr:uid="{00000000-0004-0000-0500-000008000000}"/>
    <hyperlink ref="A49" r:id="rId10" xr:uid="{00000000-0004-0000-0500-000009000000}"/>
    <hyperlink ref="A51" r:id="rId11" xr:uid="{00000000-0004-0000-0500-00000A000000}"/>
    <hyperlink ref="A59" r:id="rId12" xr:uid="{00000000-0004-0000-0500-00000B000000}"/>
    <hyperlink ref="A66" r:id="rId13" xr:uid="{00000000-0004-0000-0500-00000C000000}"/>
  </hyperlinks>
  <pageMargins left="0.7" right="0.7" top="0.75" bottom="0.75" header="0.3" footer="0.3"/>
  <drawing r:id="rId14"/>
  <legacy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showGridLines="0" workbookViewId="0"/>
  </sheetViews>
  <sheetFormatPr defaultRowHeight="15" x14ac:dyDescent="0.25"/>
  <cols>
    <col min="1" max="1" width="33.28515625" style="3" customWidth="1"/>
    <col min="2" max="2" width="11.85546875" customWidth="1"/>
    <col min="3" max="3" width="30.42578125" customWidth="1"/>
    <col min="5" max="5" width="13.5703125" customWidth="1"/>
    <col min="6" max="6" width="9.140625" customWidth="1"/>
    <col min="7" max="7" width="24.140625" customWidth="1"/>
  </cols>
  <sheetData>
    <row r="1" spans="1:3" x14ac:dyDescent="0.25">
      <c r="A1" s="2" t="s">
        <v>191</v>
      </c>
      <c r="B1" t="s">
        <v>196</v>
      </c>
      <c r="C1" s="1" t="s">
        <v>192</v>
      </c>
    </row>
    <row r="2" spans="1:3" x14ac:dyDescent="0.25">
      <c r="A2" s="3" t="s">
        <v>193</v>
      </c>
      <c r="B2">
        <v>61300000</v>
      </c>
    </row>
    <row r="3" spans="1:3" x14ac:dyDescent="0.25">
      <c r="A3" s="3" t="s">
        <v>194</v>
      </c>
      <c r="B3" s="11">
        <f>B2/36000000</f>
        <v>1.7027777777777777</v>
      </c>
    </row>
  </sheetData>
  <hyperlinks>
    <hyperlink ref="A1" r:id="rId1" xr:uid="{00000000-0004-0000-0600-000000000000}"/>
    <hyperlink ref="C1" r:id="rId2" xr:uid="{00000000-0004-0000-0600-00000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6"/>
  <sheetViews>
    <sheetView showGridLines="0" workbookViewId="0"/>
  </sheetViews>
  <sheetFormatPr defaultRowHeight="15" x14ac:dyDescent="0.25"/>
  <cols>
    <col min="1" max="1" width="25.140625" style="3" customWidth="1"/>
    <col min="2" max="2" width="11.85546875" customWidth="1"/>
    <col min="3" max="3" width="57.5703125" customWidth="1"/>
  </cols>
  <sheetData>
    <row r="1" spans="1:3" x14ac:dyDescent="0.25">
      <c r="A1" s="16" t="s">
        <v>195</v>
      </c>
      <c r="B1" t="s">
        <v>196</v>
      </c>
      <c r="C1" t="s">
        <v>197</v>
      </c>
    </row>
    <row r="2" spans="1:3" x14ac:dyDescent="0.25">
      <c r="A2" s="3" t="s">
        <v>198</v>
      </c>
      <c r="B2">
        <f>C2</f>
        <v>46000000</v>
      </c>
      <c r="C2">
        <v>46000000</v>
      </c>
    </row>
    <row r="3" spans="1:3" x14ac:dyDescent="0.25">
      <c r="A3" s="3" t="s">
        <v>199</v>
      </c>
      <c r="B3" s="11">
        <f>B2/12500000</f>
        <v>3.68</v>
      </c>
    </row>
    <row r="4" spans="1:3" x14ac:dyDescent="0.25">
      <c r="A4"/>
    </row>
    <row r="5" spans="1:3" x14ac:dyDescent="0.25">
      <c r="A5"/>
    </row>
    <row r="6" spans="1:3" x14ac:dyDescent="0.25">
      <c r="A6"/>
    </row>
    <row r="7" spans="1:3" x14ac:dyDescent="0.25">
      <c r="A7"/>
    </row>
    <row r="8" spans="1:3" x14ac:dyDescent="0.25">
      <c r="A8"/>
    </row>
    <row r="9" spans="1:3" x14ac:dyDescent="0.25">
      <c r="A9"/>
    </row>
    <row r="10" spans="1:3" x14ac:dyDescent="0.25">
      <c r="A10"/>
    </row>
    <row r="11" spans="1:3" x14ac:dyDescent="0.25">
      <c r="A11"/>
    </row>
    <row r="12" spans="1:3" x14ac:dyDescent="0.25">
      <c r="A12"/>
    </row>
    <row r="13" spans="1:3" x14ac:dyDescent="0.25">
      <c r="A13"/>
    </row>
    <row r="14" spans="1:3" x14ac:dyDescent="0.25">
      <c r="A14"/>
    </row>
    <row r="15" spans="1:3" x14ac:dyDescent="0.25">
      <c r="A15"/>
    </row>
    <row r="16" spans="1:3" x14ac:dyDescent="0.25">
      <c r="A16"/>
    </row>
  </sheetData>
  <hyperlinks>
    <hyperlink ref="A1" r:id="rId1" xr:uid="{00000000-0004-0000-07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"/>
  <sheetViews>
    <sheetView showGridLines="0" workbookViewId="0"/>
  </sheetViews>
  <sheetFormatPr defaultRowHeight="15" x14ac:dyDescent="0.25"/>
  <cols>
    <col min="1" max="1" width="33.85546875" customWidth="1"/>
    <col min="2" max="2" width="9.7109375" customWidth="1"/>
    <col min="3" max="3" width="61.85546875" customWidth="1"/>
    <col min="4" max="4" width="24.140625" customWidth="1"/>
    <col min="5" max="5" width="24.5703125" customWidth="1"/>
  </cols>
  <sheetData>
    <row r="1" spans="1:3" x14ac:dyDescent="0.25">
      <c r="A1" s="26" t="s">
        <v>200</v>
      </c>
      <c r="C1" s="1" t="s">
        <v>201</v>
      </c>
    </row>
    <row r="2" spans="1:3" x14ac:dyDescent="0.25">
      <c r="A2" s="3" t="s">
        <v>202</v>
      </c>
      <c r="B2">
        <v>38585831</v>
      </c>
    </row>
    <row r="3" spans="1:3" x14ac:dyDescent="0.25">
      <c r="A3" t="s">
        <v>203</v>
      </c>
      <c r="B3">
        <v>7400000</v>
      </c>
    </row>
    <row r="4" spans="1:3" x14ac:dyDescent="0.25">
      <c r="A4" t="s">
        <v>204</v>
      </c>
      <c r="B4">
        <v>7500000</v>
      </c>
    </row>
    <row r="5" spans="1:3" x14ac:dyDescent="0.25">
      <c r="A5" t="s">
        <v>205</v>
      </c>
      <c r="B5">
        <v>5400000</v>
      </c>
    </row>
    <row r="6" spans="1:3" x14ac:dyDescent="0.25">
      <c r="A6" t="s">
        <v>206</v>
      </c>
      <c r="B6">
        <v>1500000</v>
      </c>
    </row>
    <row r="7" spans="1:3" x14ac:dyDescent="0.25">
      <c r="A7" t="s">
        <v>207</v>
      </c>
      <c r="B7">
        <f>SUM(B2:B6)</f>
        <v>60385831</v>
      </c>
    </row>
    <row r="9" spans="1:3" x14ac:dyDescent="0.25">
      <c r="A9" t="s">
        <v>208</v>
      </c>
      <c r="B9">
        <f>(SUM(B3,B5,B6)/2+B2)/12500000</f>
        <v>3.6588664799999999</v>
      </c>
    </row>
    <row r="10" spans="1:3" x14ac:dyDescent="0.25">
      <c r="A10" t="s">
        <v>209</v>
      </c>
      <c r="B10">
        <f>(SUM(B3,B5,B6)/2+B4)/6000000</f>
        <v>2.4416666666666669</v>
      </c>
    </row>
    <row r="11" spans="1:3" x14ac:dyDescent="0.25">
      <c r="A11" t="s">
        <v>178</v>
      </c>
      <c r="B11">
        <f>B7/12000000</f>
        <v>5.0321525833333336</v>
      </c>
    </row>
    <row r="14" spans="1:3" x14ac:dyDescent="0.25">
      <c r="A14" t="s">
        <v>210</v>
      </c>
    </row>
  </sheetData>
  <hyperlinks>
    <hyperlink ref="C1" r:id="rId1" xr:uid="{00000000-0004-0000-08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showGridLines="0" workbookViewId="0"/>
  </sheetViews>
  <sheetFormatPr defaultRowHeight="15" x14ac:dyDescent="0.25"/>
  <cols>
    <col min="1" max="1" width="33.85546875" customWidth="1"/>
    <col min="2" max="2" width="9.7109375" customWidth="1"/>
    <col min="3" max="3" width="61.85546875" customWidth="1"/>
    <col min="4" max="4" width="24.140625" customWidth="1"/>
    <col min="5" max="5" width="24.5703125" customWidth="1"/>
  </cols>
  <sheetData>
    <row r="1" spans="1:3" x14ac:dyDescent="0.25">
      <c r="A1" s="16" t="s">
        <v>211</v>
      </c>
      <c r="C1" s="1" t="s">
        <v>212</v>
      </c>
    </row>
    <row r="2" spans="1:3" x14ac:dyDescent="0.25">
      <c r="A2" s="3" t="s">
        <v>29</v>
      </c>
      <c r="B2">
        <v>41200000</v>
      </c>
    </row>
    <row r="3" spans="1:3" x14ac:dyDescent="0.25">
      <c r="A3" s="26" t="s">
        <v>213</v>
      </c>
      <c r="B3">
        <f>B2/12000000</f>
        <v>3.4333333333333331</v>
      </c>
    </row>
  </sheetData>
  <hyperlinks>
    <hyperlink ref="A1" r:id="rId1" xr:uid="{00000000-0004-0000-0900-000000000000}"/>
    <hyperlink ref="C1" r:id="rId2" xr:uid="{00000000-0004-0000-09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showGridLines="0" workbookViewId="0"/>
  </sheetViews>
  <sheetFormatPr defaultRowHeight="15" x14ac:dyDescent="0.25"/>
  <cols>
    <col min="1" max="1" width="56.7109375" style="21" customWidth="1"/>
    <col min="2" max="2" width="5.7109375" customWidth="1"/>
    <col min="3" max="3" width="4.7109375" customWidth="1"/>
    <col min="4" max="4" width="29.5703125" customWidth="1"/>
    <col min="5" max="5" width="16.7109375" customWidth="1"/>
    <col min="6" max="6" width="15.7109375" customWidth="1"/>
  </cols>
  <sheetData>
    <row r="1" spans="1:6" x14ac:dyDescent="0.25">
      <c r="A1" s="20" t="s">
        <v>214</v>
      </c>
      <c r="B1" t="s">
        <v>215</v>
      </c>
      <c r="C1" t="s">
        <v>35</v>
      </c>
      <c r="D1" t="s">
        <v>216</v>
      </c>
      <c r="E1" t="s">
        <v>217</v>
      </c>
      <c r="F1" t="s">
        <v>218</v>
      </c>
    </row>
    <row r="2" spans="1:6" x14ac:dyDescent="0.25">
      <c r="A2" s="22" t="s">
        <v>219</v>
      </c>
      <c r="B2" s="23">
        <v>1472.9031714988248</v>
      </c>
      <c r="C2" s="11">
        <f>B2/1000</f>
        <v>1.4729031714988248</v>
      </c>
      <c r="D2" s="11">
        <f>C2/(1-0.4)</f>
        <v>2.454838619164708</v>
      </c>
      <c r="E2">
        <v>42</v>
      </c>
      <c r="F2">
        <f>E2/1000</f>
        <v>4.2000000000000003E-2</v>
      </c>
    </row>
    <row r="3" spans="1:6" x14ac:dyDescent="0.25">
      <c r="A3" s="21" t="s">
        <v>220</v>
      </c>
      <c r="B3" s="23">
        <v>1632.254027889084</v>
      </c>
      <c r="C3" s="11">
        <f t="shared" ref="C3:C13" si="0">B3/1000</f>
        <v>1.632254027889084</v>
      </c>
      <c r="D3" s="11">
        <f>C3/(1-0.4)</f>
        <v>2.72042337981514</v>
      </c>
      <c r="E3">
        <v>28</v>
      </c>
      <c r="F3">
        <f t="shared" ref="F3:F13" si="1">E3/1000</f>
        <v>2.8000000000000001E-2</v>
      </c>
    </row>
    <row r="4" spans="1:6" x14ac:dyDescent="0.25">
      <c r="A4" s="22" t="s">
        <v>221</v>
      </c>
      <c r="B4" s="23">
        <v>1984.4392569462527</v>
      </c>
      <c r="C4" s="11">
        <f t="shared" si="0"/>
        <v>1.9844392569462528</v>
      </c>
      <c r="D4" s="11">
        <f>C4/(1-0.3-0.35)</f>
        <v>5.6698264484178651</v>
      </c>
      <c r="E4">
        <v>25</v>
      </c>
      <c r="F4">
        <f t="shared" si="1"/>
        <v>2.5000000000000001E-2</v>
      </c>
    </row>
    <row r="5" spans="1:6" x14ac:dyDescent="0.25">
      <c r="A5" s="22" t="s">
        <v>222</v>
      </c>
      <c r="B5" s="23">
        <v>2749.41002161912</v>
      </c>
      <c r="C5" s="11">
        <f t="shared" si="0"/>
        <v>2.74941002161912</v>
      </c>
      <c r="D5" s="11">
        <f>C5/(1-0.26-0.35)</f>
        <v>7.0497692862028716</v>
      </c>
      <c r="E5">
        <v>36</v>
      </c>
      <c r="F5">
        <f t="shared" si="1"/>
        <v>3.5999999999999997E-2</v>
      </c>
    </row>
    <row r="6" spans="1:6" x14ac:dyDescent="0.25">
      <c r="A6" s="22" t="s">
        <v>223</v>
      </c>
      <c r="B6" s="23">
        <v>645.11975216783276</v>
      </c>
      <c r="C6" s="11">
        <f t="shared" si="0"/>
        <v>0.64511975216783279</v>
      </c>
      <c r="D6" s="11">
        <f>C6/(1-0.3)</f>
        <v>0.92159964595404686</v>
      </c>
      <c r="E6">
        <v>36</v>
      </c>
      <c r="F6">
        <f t="shared" si="1"/>
        <v>3.5999999999999997E-2</v>
      </c>
    </row>
    <row r="7" spans="1:6" x14ac:dyDescent="0.25">
      <c r="A7" s="22" t="s">
        <v>224</v>
      </c>
      <c r="B7" s="23">
        <v>320.383469340489</v>
      </c>
      <c r="C7" s="11">
        <f t="shared" si="0"/>
        <v>0.320383469340489</v>
      </c>
      <c r="D7" s="11">
        <f>C7/(1-0.3)</f>
        <v>0.45769067048641288</v>
      </c>
    </row>
    <row r="8" spans="1:6" x14ac:dyDescent="0.25">
      <c r="A8" s="22" t="s">
        <v>225</v>
      </c>
      <c r="B8" s="23">
        <v>324.73628282734381</v>
      </c>
      <c r="C8" s="11">
        <f t="shared" si="0"/>
        <v>0.32473628282734379</v>
      </c>
      <c r="D8" s="11">
        <f>C8/(1-0.3)</f>
        <v>0.46390897546763404</v>
      </c>
    </row>
    <row r="9" spans="1:6" x14ac:dyDescent="0.25">
      <c r="A9" s="22" t="s">
        <v>226</v>
      </c>
      <c r="B9" s="23">
        <v>1076.2780028820055</v>
      </c>
      <c r="C9" s="11">
        <f t="shared" si="0"/>
        <v>1.0762780028820054</v>
      </c>
      <c r="D9" s="11">
        <f>C9/(1-0.3)</f>
        <v>1.5375400041171505</v>
      </c>
    </row>
    <row r="10" spans="1:6" x14ac:dyDescent="0.25">
      <c r="A10" s="22" t="s">
        <v>227</v>
      </c>
      <c r="B10" s="23">
        <v>2152.5560057640109</v>
      </c>
      <c r="C10" s="11">
        <f t="shared" si="0"/>
        <v>2.1525560057640107</v>
      </c>
      <c r="D10" s="11">
        <f t="shared" ref="D10:D13" si="2">C10/(1-0.3)</f>
        <v>3.0750800082343011</v>
      </c>
      <c r="E10">
        <v>38</v>
      </c>
      <c r="F10">
        <f t="shared" si="1"/>
        <v>3.7999999999999999E-2</v>
      </c>
    </row>
    <row r="11" spans="1:6" x14ac:dyDescent="0.25">
      <c r="A11" s="22" t="s">
        <v>228</v>
      </c>
      <c r="B11" s="23">
        <v>2903.6453612035739</v>
      </c>
      <c r="C11" s="11">
        <f t="shared" si="0"/>
        <v>2.9036453612035737</v>
      </c>
      <c r="D11" s="11">
        <f t="shared" si="2"/>
        <v>4.1480648017193911</v>
      </c>
      <c r="E11">
        <v>38</v>
      </c>
      <c r="F11">
        <f t="shared" si="1"/>
        <v>3.7999999999999999E-2</v>
      </c>
    </row>
    <row r="12" spans="1:6" x14ac:dyDescent="0.25">
      <c r="A12" s="22" t="s">
        <v>229</v>
      </c>
      <c r="B12" s="23">
        <v>5807.2907224071478</v>
      </c>
      <c r="C12" s="11">
        <f t="shared" si="0"/>
        <v>5.8072907224071475</v>
      </c>
      <c r="D12" s="11">
        <f t="shared" si="2"/>
        <v>8.2961296034387821</v>
      </c>
      <c r="E12">
        <v>122</v>
      </c>
      <c r="F12">
        <f t="shared" si="1"/>
        <v>0.122</v>
      </c>
    </row>
    <row r="13" spans="1:6" x14ac:dyDescent="0.25">
      <c r="B13" s="23">
        <v>1472.9031714988248</v>
      </c>
      <c r="C13" s="11">
        <f t="shared" si="0"/>
        <v>1.4729031714988248</v>
      </c>
      <c r="D13" s="11">
        <f t="shared" si="2"/>
        <v>2.104147387855464</v>
      </c>
      <c r="E13">
        <v>122</v>
      </c>
      <c r="F13">
        <f t="shared" si="1"/>
        <v>0.122</v>
      </c>
    </row>
    <row r="14" spans="1:6" x14ac:dyDescent="0.25">
      <c r="B14" s="23"/>
    </row>
    <row r="15" spans="1:6" x14ac:dyDescent="0.25">
      <c r="A15" s="21" t="s">
        <v>230</v>
      </c>
      <c r="C15" s="11">
        <f>SUM(C6,C2)</f>
        <v>2.1180229236666577</v>
      </c>
      <c r="D15" s="11">
        <f>SUM(D6,D2)</f>
        <v>3.3764382651187548</v>
      </c>
    </row>
  </sheetData>
  <hyperlinks>
    <hyperlink ref="A1" r:id="rId1" xr:uid="{00000000-0004-0000-0A00-000000000000}"/>
  </hyperlinks>
  <pageMargins left="0.7" right="0.7" top="0.75" bottom="0.75" header="0.3" footer="0.3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showGridLines="0" workbookViewId="0"/>
  </sheetViews>
  <sheetFormatPr defaultRowHeight="15" x14ac:dyDescent="0.25"/>
  <cols>
    <col min="1" max="1" width="33.85546875" customWidth="1"/>
    <col min="2" max="2" width="9.7109375" customWidth="1"/>
    <col min="3" max="3" width="61.85546875" customWidth="1"/>
    <col min="4" max="4" width="24.140625" customWidth="1"/>
    <col min="5" max="5" width="24.5703125" customWidth="1"/>
  </cols>
  <sheetData>
    <row r="1" spans="1:3" x14ac:dyDescent="0.25">
      <c r="A1" s="16" t="s">
        <v>231</v>
      </c>
      <c r="B1" t="s">
        <v>196</v>
      </c>
      <c r="C1" s="1" t="s">
        <v>232</v>
      </c>
    </row>
    <row r="2" spans="1:3" x14ac:dyDescent="0.25">
      <c r="A2" s="3" t="s">
        <v>233</v>
      </c>
      <c r="B2">
        <f>SUM(C2:C4)</f>
        <v>33072998</v>
      </c>
      <c r="C2">
        <v>6569498</v>
      </c>
    </row>
    <row r="3" spans="1:3" x14ac:dyDescent="0.25">
      <c r="A3" s="3" t="s">
        <v>234</v>
      </c>
      <c r="B3" s="25">
        <f>B2/60000000</f>
        <v>0.55121663333333337</v>
      </c>
      <c r="C3">
        <v>203500</v>
      </c>
    </row>
    <row r="4" spans="1:3" ht="45" x14ac:dyDescent="0.25">
      <c r="A4" s="3" t="s">
        <v>235</v>
      </c>
      <c r="B4">
        <f>68000000/60000000</f>
        <v>1.1333333333333333</v>
      </c>
      <c r="C4">
        <v>26300000</v>
      </c>
    </row>
    <row r="7" spans="1:3" ht="60" x14ac:dyDescent="0.25">
      <c r="A7" s="2" t="s">
        <v>236</v>
      </c>
    </row>
  </sheetData>
  <hyperlinks>
    <hyperlink ref="A1" r:id="rId1" xr:uid="{00000000-0004-0000-0B00-000000000000}"/>
    <hyperlink ref="C1" r:id="rId2" xr:uid="{00000000-0004-0000-0B00-000001000000}"/>
    <hyperlink ref="A7" r:id="rId3" xr:uid="{00000000-0004-0000-0B00-000002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3"/>
  <sheetViews>
    <sheetView showGridLines="0" workbookViewId="0"/>
  </sheetViews>
  <sheetFormatPr defaultRowHeight="15" x14ac:dyDescent="0.25"/>
  <cols>
    <col min="1" max="1" width="41.5703125" customWidth="1"/>
    <col min="2" max="2" width="69.28515625" customWidth="1"/>
  </cols>
  <sheetData>
    <row r="1" spans="1:2" x14ac:dyDescent="0.25">
      <c r="A1" s="17" t="s">
        <v>237</v>
      </c>
      <c r="B1" s="3"/>
    </row>
    <row r="2" spans="1:2" x14ac:dyDescent="0.25">
      <c r="A2" t="s">
        <v>238</v>
      </c>
      <c r="B2" t="s">
        <v>239</v>
      </c>
    </row>
    <row r="3" spans="1:2" x14ac:dyDescent="0.25">
      <c r="A3" t="s">
        <v>240</v>
      </c>
      <c r="B3" t="s">
        <v>241</v>
      </c>
    </row>
    <row r="4" spans="1:2" x14ac:dyDescent="0.25">
      <c r="A4" t="s">
        <v>242</v>
      </c>
      <c r="B4" t="s">
        <v>243</v>
      </c>
    </row>
    <row r="5" spans="1:2" x14ac:dyDescent="0.25">
      <c r="A5" t="s">
        <v>244</v>
      </c>
      <c r="B5">
        <v>19800000</v>
      </c>
    </row>
    <row r="7" spans="1:2" x14ac:dyDescent="0.25">
      <c r="A7" t="s">
        <v>245</v>
      </c>
      <c r="B7">
        <f>B5/2450000</f>
        <v>8.0816326530612237</v>
      </c>
    </row>
    <row r="23" spans="1:1" x14ac:dyDescent="0.25">
      <c r="A23" s="3"/>
    </row>
  </sheetData>
  <hyperlinks>
    <hyperlink ref="A1" r:id="rId1" xr:uid="{00000000-0004-0000-0C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"/>
  <sheetViews>
    <sheetView showGridLines="0" workbookViewId="0"/>
  </sheetViews>
  <sheetFormatPr defaultRowHeight="15" x14ac:dyDescent="0.25"/>
  <cols>
    <col min="1" max="1" width="26.140625" customWidth="1"/>
    <col min="2" max="2" width="8.85546875" customWidth="1"/>
    <col min="3" max="3" width="6.42578125" customWidth="1"/>
    <col min="4" max="4" width="7.85546875" customWidth="1"/>
  </cols>
  <sheetData>
    <row r="1" spans="1:4" x14ac:dyDescent="0.25">
      <c r="A1" s="17" t="s">
        <v>246</v>
      </c>
      <c r="B1" t="s">
        <v>35</v>
      </c>
      <c r="C1" t="s">
        <v>215</v>
      </c>
      <c r="D1" t="s">
        <v>247</v>
      </c>
    </row>
    <row r="2" spans="1:4" x14ac:dyDescent="0.25">
      <c r="A2" t="s">
        <v>248</v>
      </c>
      <c r="B2">
        <f>C2/1000</f>
        <v>1.145</v>
      </c>
      <c r="C2">
        <v>1145</v>
      </c>
      <c r="D2">
        <f>C2*1000</f>
        <v>1145000</v>
      </c>
    </row>
    <row r="3" spans="1:4" x14ac:dyDescent="0.25">
      <c r="B3" t="s">
        <v>249</v>
      </c>
      <c r="C3" t="s">
        <v>150</v>
      </c>
      <c r="D3" t="s">
        <v>250</v>
      </c>
    </row>
    <row r="4" spans="1:4" x14ac:dyDescent="0.25">
      <c r="A4" t="s">
        <v>251</v>
      </c>
      <c r="B4">
        <f>C4/1000</f>
        <v>0.24399999999999999</v>
      </c>
      <c r="C4">
        <v>244</v>
      </c>
      <c r="D4">
        <f>C4*1000</f>
        <v>244000</v>
      </c>
    </row>
    <row r="5" spans="1:4" x14ac:dyDescent="0.25">
      <c r="B5" t="s">
        <v>35</v>
      </c>
      <c r="C5" t="s">
        <v>215</v>
      </c>
      <c r="D5" t="s">
        <v>247</v>
      </c>
    </row>
    <row r="6" spans="1:4" x14ac:dyDescent="0.25">
      <c r="B6">
        <f>B4*4</f>
        <v>0.97599999999999998</v>
      </c>
      <c r="C6">
        <f t="shared" ref="C6:D6" si="0">C4*4</f>
        <v>976</v>
      </c>
      <c r="D6">
        <f t="shared" si="0"/>
        <v>976000</v>
      </c>
    </row>
  </sheetData>
  <hyperlinks>
    <hyperlink ref="A1" r:id="rId1" xr:uid="{00000000-0004-0000-0D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1"/>
  <sheetViews>
    <sheetView showGridLines="0" workbookViewId="0"/>
  </sheetViews>
  <sheetFormatPr defaultRowHeight="15" x14ac:dyDescent="0.25"/>
  <cols>
    <col min="1" max="1" width="21.85546875" customWidth="1"/>
    <col min="2" max="2" width="11.85546875" customWidth="1"/>
    <col min="4" max="4" width="9.85546875" customWidth="1"/>
  </cols>
  <sheetData>
    <row r="1" spans="1:4" x14ac:dyDescent="0.25">
      <c r="A1" s="17" t="s">
        <v>252</v>
      </c>
      <c r="B1" t="s">
        <v>35</v>
      </c>
      <c r="C1" t="s">
        <v>215</v>
      </c>
      <c r="D1" t="s">
        <v>247</v>
      </c>
    </row>
    <row r="2" spans="1:4" x14ac:dyDescent="0.25">
      <c r="A2" t="s">
        <v>253</v>
      </c>
      <c r="B2">
        <v>1.08</v>
      </c>
      <c r="C2">
        <f t="shared" ref="C2:D4" si="0">B2*1000</f>
        <v>1080</v>
      </c>
      <c r="D2">
        <f t="shared" si="0"/>
        <v>1080000</v>
      </c>
    </row>
    <row r="3" spans="1:4" x14ac:dyDescent="0.25">
      <c r="A3" t="s">
        <v>254</v>
      </c>
      <c r="B3">
        <v>1.5</v>
      </c>
      <c r="C3">
        <f t="shared" si="0"/>
        <v>1500</v>
      </c>
      <c r="D3">
        <f t="shared" si="0"/>
        <v>1500000</v>
      </c>
    </row>
    <row r="4" spans="1:4" x14ac:dyDescent="0.25">
      <c r="A4" t="s">
        <v>255</v>
      </c>
      <c r="B4">
        <v>3.24</v>
      </c>
      <c r="C4">
        <f t="shared" si="0"/>
        <v>3240</v>
      </c>
      <c r="D4">
        <f t="shared" si="0"/>
        <v>3240000</v>
      </c>
    </row>
    <row r="5" spans="1:4" x14ac:dyDescent="0.25">
      <c r="B5" t="s">
        <v>249</v>
      </c>
      <c r="C5" t="s">
        <v>150</v>
      </c>
      <c r="D5" t="s">
        <v>250</v>
      </c>
    </row>
    <row r="6" spans="1:4" x14ac:dyDescent="0.25">
      <c r="A6" t="s">
        <v>256</v>
      </c>
      <c r="B6">
        <f>C6/1000</f>
        <v>0.32030000000000003</v>
      </c>
      <c r="C6">
        <v>320.3</v>
      </c>
      <c r="D6">
        <f>C6*1000</f>
        <v>320300</v>
      </c>
    </row>
    <row r="7" spans="1:4" x14ac:dyDescent="0.25">
      <c r="A7" t="s">
        <v>257</v>
      </c>
      <c r="B7">
        <f t="shared" ref="B7" si="1">C7/1000</f>
        <v>0.35992000000000002</v>
      </c>
      <c r="C7">
        <v>359.92</v>
      </c>
      <c r="D7">
        <f>C7*1000</f>
        <v>359920</v>
      </c>
    </row>
    <row r="9" spans="1:4" x14ac:dyDescent="0.25">
      <c r="B9" t="s">
        <v>35</v>
      </c>
      <c r="C9" t="s">
        <v>215</v>
      </c>
      <c r="D9" t="s">
        <v>247</v>
      </c>
    </row>
    <row r="10" spans="1:4" x14ac:dyDescent="0.25">
      <c r="A10" t="s">
        <v>256</v>
      </c>
      <c r="B10">
        <f t="shared" ref="B10:D11" si="2">B6*4</f>
        <v>1.2812000000000001</v>
      </c>
      <c r="C10">
        <f t="shared" si="2"/>
        <v>1281.2</v>
      </c>
      <c r="D10">
        <f t="shared" si="2"/>
        <v>1281200</v>
      </c>
    </row>
    <row r="11" spans="1:4" x14ac:dyDescent="0.25">
      <c r="A11" t="s">
        <v>257</v>
      </c>
      <c r="B11">
        <f t="shared" si="2"/>
        <v>1.4396800000000001</v>
      </c>
      <c r="C11">
        <f t="shared" si="2"/>
        <v>1439.68</v>
      </c>
      <c r="D11">
        <f t="shared" si="2"/>
        <v>1439680</v>
      </c>
    </row>
  </sheetData>
  <hyperlinks>
    <hyperlink ref="A1" r:id="rId1" xr:uid="{00000000-0004-0000-0E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"/>
  <sheetViews>
    <sheetView showGridLines="0" workbookViewId="0"/>
  </sheetViews>
  <sheetFormatPr defaultRowHeight="15" x14ac:dyDescent="0.25"/>
  <cols>
    <col min="1" max="1" width="33.85546875" customWidth="1"/>
    <col min="4" max="4" width="24.140625" customWidth="1"/>
    <col min="5" max="5" width="24.5703125" customWidth="1"/>
  </cols>
  <sheetData>
    <row r="1" spans="1:5" x14ac:dyDescent="0.25">
      <c r="A1" s="1" t="s">
        <v>222</v>
      </c>
      <c r="B1" t="s">
        <v>258</v>
      </c>
      <c r="C1" t="s">
        <v>259</v>
      </c>
      <c r="D1" t="s">
        <v>260</v>
      </c>
      <c r="E1" t="s">
        <v>261</v>
      </c>
    </row>
    <row r="2" spans="1:5" x14ac:dyDescent="0.25">
      <c r="A2" t="s">
        <v>262</v>
      </c>
      <c r="B2">
        <v>14251</v>
      </c>
      <c r="C2">
        <v>17417</v>
      </c>
      <c r="D2">
        <f>(B2+5000)*10/7</f>
        <v>27501.428571428572</v>
      </c>
      <c r="E2">
        <f>C2*10/7</f>
        <v>24881.428571428572</v>
      </c>
    </row>
    <row r="3" spans="1:5" x14ac:dyDescent="0.25">
      <c r="A3" t="s">
        <v>263</v>
      </c>
      <c r="B3">
        <v>23701</v>
      </c>
      <c r="C3">
        <v>28967</v>
      </c>
      <c r="D3">
        <f>B3*10/7</f>
        <v>33858.571428571428</v>
      </c>
      <c r="E3">
        <f>C3*10/7</f>
        <v>41381.428571428572</v>
      </c>
    </row>
  </sheetData>
  <hyperlinks>
    <hyperlink ref="A1" r:id="rId1" xr:uid="{00000000-0004-0000-0F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showGridLines="0" workbookViewId="0"/>
  </sheetViews>
  <sheetFormatPr defaultRowHeight="15" x14ac:dyDescent="0.25"/>
  <cols>
    <col min="1" max="1" width="16.42578125" customWidth="1"/>
    <col min="2" max="2" width="18.5703125" customWidth="1"/>
  </cols>
  <sheetData>
    <row r="1" spans="1:3" x14ac:dyDescent="0.25">
      <c r="A1" t="s">
        <v>264</v>
      </c>
      <c r="B1" t="s">
        <v>265</v>
      </c>
      <c r="C1" t="s">
        <v>266</v>
      </c>
    </row>
    <row r="2" spans="1:3" x14ac:dyDescent="0.25">
      <c r="A2" t="s">
        <v>25</v>
      </c>
      <c r="B2" t="s">
        <v>267</v>
      </c>
      <c r="C2" t="s">
        <v>43</v>
      </c>
    </row>
    <row r="3" spans="1:3" x14ac:dyDescent="0.25">
      <c r="A3" t="s">
        <v>268</v>
      </c>
      <c r="B3" t="s">
        <v>204</v>
      </c>
      <c r="C3" t="s">
        <v>42</v>
      </c>
    </row>
    <row r="4" spans="1:3" x14ac:dyDescent="0.25">
      <c r="B4" t="s">
        <v>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2"/>
  <sheetViews>
    <sheetView showGridLines="0" workbookViewId="0"/>
  </sheetViews>
  <sheetFormatPr defaultRowHeight="15" x14ac:dyDescent="0.25"/>
  <cols>
    <col min="1" max="1" width="28.140625" customWidth="1"/>
    <col min="2" max="2" width="23.7109375" customWidth="1"/>
    <col min="3" max="3" width="20.42578125" customWidth="1"/>
    <col min="4" max="4" width="9.140625" style="18"/>
    <col min="5" max="5" width="57.7109375" customWidth="1"/>
    <col min="6" max="6" width="23.7109375" customWidth="1"/>
    <col min="7" max="7" width="20.42578125" customWidth="1"/>
    <col min="8" max="8" width="9.140625" style="18"/>
  </cols>
  <sheetData>
    <row r="1" spans="1:7" x14ac:dyDescent="0.25">
      <c r="A1" s="50" t="s">
        <v>269</v>
      </c>
      <c r="B1" s="50"/>
      <c r="C1" s="50"/>
      <c r="E1" s="50" t="s">
        <v>270</v>
      </c>
      <c r="F1" s="50"/>
      <c r="G1" s="50"/>
    </row>
    <row r="2" spans="1:7" x14ac:dyDescent="0.25">
      <c r="A2" t="s">
        <v>271</v>
      </c>
      <c r="B2" t="s">
        <v>40</v>
      </c>
      <c r="C2" t="s">
        <v>41</v>
      </c>
      <c r="E2" t="s">
        <v>271</v>
      </c>
      <c r="F2" t="s">
        <v>40</v>
      </c>
      <c r="G2" t="s">
        <v>41</v>
      </c>
    </row>
    <row r="3" spans="1:7" x14ac:dyDescent="0.25">
      <c r="A3" t="b">
        <f>IF('Cost Calculator'!$C$2="Utility-Scale", 'Cost Breakdowns'!$B26)</f>
        <v>0</v>
      </c>
      <c r="B3" s="19">
        <f>IFERROR('Cost Calculator'!$C$5*C3, "Breakdown Unavailable")</f>
        <v>4027075.829383886</v>
      </c>
      <c r="C3" s="10">
        <f>IF('Cost Calculator'!$C$3="PV + BESS",'Cost Breakdowns'!$E26,
IF('Cost Calculator'!$C$3="PV","NA",
IF('Cost Calculator'!$C$3="BESS",'Cost Breakdowns'!$K26,)))</f>
        <v>0.04</v>
      </c>
      <c r="E3" t="str">
        <f>IF('Cost Calculator'!$C$2="Commercial", 'Cost Breakdowns'!$B26)</f>
        <v>Engineering, Procurement, Construction /Developer Net Profit</v>
      </c>
      <c r="F3" s="19">
        <f>IFERROR('Cost Calculator'!$C$5*G3, "Breakdown Unavailable")</f>
        <v>7467666.6216526162</v>
      </c>
      <c r="G3" s="10">
        <f>IF('Cost Calculator'!$C$3="PV + BESS",'Cost Breakdowns'!$E4,
IF('Cost Calculator'!$C$3="PV",'Cost Breakdowns'!$H4,
IF('Cost Calculator'!$C$3="BESS",'Cost Breakdowns'!$K4,)))</f>
        <v>7.4174581637268214E-2</v>
      </c>
    </row>
    <row r="4" spans="1:7" x14ac:dyDescent="0.25">
      <c r="A4" t="b">
        <f>IF('Cost Calculator'!$C$2="Utility-Scale", 'Cost Breakdowns'!$B27)</f>
        <v>0</v>
      </c>
      <c r="B4" s="19">
        <f>IFERROR('Cost Calculator'!$C$5*C4, "Breakdown Unavailable")</f>
        <v>3020306.8720379141</v>
      </c>
      <c r="C4" s="10">
        <f>IF('Cost Calculator'!$C$3="PV + BESS",'Cost Breakdowns'!$E27,
IF('Cost Calculator'!$C$3="PV","NA",
IF('Cost Calculator'!$C$3="BESS",'Cost Breakdowns'!$K27,)))</f>
        <v>0.03</v>
      </c>
      <c r="E4" t="str">
        <f>IF('Cost Calculator'!$C$2="Commercial", 'Cost Breakdowns'!$B27)</f>
        <v>Developer Overhead</v>
      </c>
      <c r="F4" s="19">
        <f>IFERROR('Cost Calculator'!$C$5*G4, "Breakdown Unavailable")</f>
        <v>2641004.0491210469</v>
      </c>
      <c r="G4" s="10">
        <f>IF('Cost Calculator'!$C$3="PV + BESS",'Cost Breakdowns'!$E5,
IF('Cost Calculator'!$C$3="PV",'Cost Breakdowns'!$H5,
IF('Cost Calculator'!$C$3="BESS",'Cost Breakdowns'!$K5,)))</f>
        <v>2.6232473993668026E-2</v>
      </c>
    </row>
    <row r="5" spans="1:7" x14ac:dyDescent="0.25">
      <c r="A5" t="b">
        <f>IF('Cost Calculator'!$C$2="Utility-Scale", 'Cost Breakdowns'!$B28)</f>
        <v>0</v>
      </c>
      <c r="B5" s="19">
        <f>IFERROR('Cost Calculator'!$C$5*C5, "Breakdown Unavailable")</f>
        <v>2516922.3933649287</v>
      </c>
      <c r="C5" s="10">
        <f>IF('Cost Calculator'!$C$3="PV + BESS",'Cost Breakdowns'!$E28,
IF('Cost Calculator'!$C$3="PV","NA",
IF('Cost Calculator'!$C$3="BESS",'Cost Breakdowns'!$K28,)))</f>
        <v>2.5000000000000001E-2</v>
      </c>
      <c r="E5" t="str">
        <f>IF('Cost Calculator'!$C$2="Commercial", 'Cost Breakdowns'!$B28)</f>
        <v>Contingency</v>
      </c>
      <c r="F5" s="19">
        <f>IFERROR('Cost Calculator'!$C$5*G5, "Breakdown Unavailable")</f>
        <v>2641004.0491210469</v>
      </c>
      <c r="G5" s="10">
        <f>IF('Cost Calculator'!$C$3="PV + BESS",'Cost Breakdowns'!$E6,
IF('Cost Calculator'!$C$3="PV",'Cost Breakdowns'!$H6,
IF('Cost Calculator'!$C$3="BESS",'Cost Breakdowns'!$K6,)))</f>
        <v>2.6232473993668026E-2</v>
      </c>
    </row>
    <row r="6" spans="1:7" x14ac:dyDescent="0.25">
      <c r="A6" t="b">
        <f>IF('Cost Calculator'!$C$2="Utility-Scale", 'Cost Breakdowns'!$B29)</f>
        <v>0</v>
      </c>
      <c r="B6" s="19">
        <f>IFERROR('Cost Calculator'!$C$5*C6, "Breakdown Unavailable")</f>
        <v>1006768.9573459715</v>
      </c>
      <c r="C6" s="10">
        <f>IF('Cost Calculator'!$C$3="PV + BESS",'Cost Breakdowns'!$E29,
IF('Cost Calculator'!$C$3="PV","NA",
IF('Cost Calculator'!$C$3="BESS",'Cost Breakdowns'!$K29,)))</f>
        <v>0.01</v>
      </c>
      <c r="E6" t="str">
        <f>IF('Cost Calculator'!$C$2="Commercial", 'Cost Breakdowns'!$B29)</f>
        <v>Transmission Line</v>
      </c>
      <c r="F6" s="19">
        <f>IFERROR('Cost Calculator'!$C$5*G6, "Breakdown Unavailable")</f>
        <v>0</v>
      </c>
      <c r="G6" s="10">
        <f>IF('Cost Calculator'!$C$3="PV + BESS",'Cost Breakdowns'!$E7,
IF('Cost Calculator'!$C$3="PV",'Cost Breakdowns'!$H7,
IF('Cost Calculator'!$C$3="BESS",'Cost Breakdowns'!$K7,)))</f>
        <v>0</v>
      </c>
    </row>
    <row r="7" spans="1:7" x14ac:dyDescent="0.25">
      <c r="A7" t="b">
        <f>IF('Cost Calculator'!$C$2="Utility-Scale", 'Cost Breakdowns'!$B30)</f>
        <v>0</v>
      </c>
      <c r="B7" s="19">
        <f>IFERROR('Cost Calculator'!$C$5*C7, "Breakdown Unavailable")</f>
        <v>1510153.4360189571</v>
      </c>
      <c r="C7" s="10">
        <f>IF('Cost Calculator'!$C$3="PV + BESS",'Cost Breakdowns'!$E30,
IF('Cost Calculator'!$C$3="PV","NA",
IF('Cost Calculator'!$C$3="BESS",'Cost Breakdowns'!$K30,)))</f>
        <v>1.4999999999999999E-2</v>
      </c>
      <c r="E7" t="str">
        <f>IF('Cost Calculator'!$C$2="Commercial", 'Cost Breakdowns'!$B30)</f>
        <v>Interconnection Fee</v>
      </c>
      <c r="F7" s="19">
        <f>IFERROR('Cost Calculator'!$C$5*G7, "Breakdown Unavailable")</f>
        <v>1274967.471989471</v>
      </c>
      <c r="G7" s="10">
        <f>IF('Cost Calculator'!$C$3="PV + BESS",'Cost Breakdowns'!$E8,
IF('Cost Calculator'!$C$3="PV",'Cost Breakdowns'!$H8,
IF('Cost Calculator'!$C$3="BESS",'Cost Breakdowns'!$K8,)))</f>
        <v>1.2663952962460426E-2</v>
      </c>
    </row>
    <row r="8" spans="1:7" x14ac:dyDescent="0.25">
      <c r="A8" t="b">
        <f>IF('Cost Calculator'!$C$2="Utility-Scale", 'Cost Breakdowns'!$B31)</f>
        <v>0</v>
      </c>
      <c r="B8" s="19">
        <f>IFERROR('Cost Calculator'!$C$5*C8, "Breakdown Unavailable")</f>
        <v>0</v>
      </c>
      <c r="C8" s="10">
        <f>IF('Cost Calculator'!$C$3="PV + BESS",'Cost Breakdowns'!$E31,
IF('Cost Calculator'!$C$3="PV","NA",
IF('Cost Calculator'!$C$3="BESS",'Cost Breakdowns'!$K31,)))</f>
        <v>0</v>
      </c>
      <c r="E8" t="str">
        <f>IF('Cost Calculator'!$C$2="Commercial", 'Cost Breakdowns'!$B31)</f>
        <v>Permitting Fee</v>
      </c>
      <c r="F8" s="19">
        <f>IFERROR('Cost Calculator'!$C$5*G8, "Breakdown Unavailable")</f>
        <v>318741.86799736775</v>
      </c>
      <c r="G8" s="10">
        <f>IF('Cost Calculator'!$C$3="PV + BESS",'Cost Breakdowns'!$E9,
IF('Cost Calculator'!$C$3="PV",'Cost Breakdowns'!$H9,
IF('Cost Calculator'!$C$3="BESS",'Cost Breakdowns'!$K9,)))</f>
        <v>3.1659882406151066E-3</v>
      </c>
    </row>
    <row r="9" spans="1:7" x14ac:dyDescent="0.25">
      <c r="A9" t="b">
        <f>IF('Cost Calculator'!$C$2="Utility-Scale", 'Cost Breakdowns'!$B32)</f>
        <v>0</v>
      </c>
      <c r="B9" s="19">
        <f>IFERROR('Cost Calculator'!$C$5*C9, "Breakdown Unavailable")</f>
        <v>0</v>
      </c>
      <c r="C9" s="10">
        <f>IF('Cost Calculator'!$C$3="PV + BESS",'Cost Breakdowns'!$E32,
IF('Cost Calculator'!$C$3="PV","NA",
IF('Cost Calculator'!$C$3="BESS",'Cost Breakdowns'!$K32,)))</f>
        <v>0</v>
      </c>
      <c r="E9" t="str">
        <f>IF('Cost Calculator'!$C$2="Commercial", 'Cost Breakdowns'!$B32)</f>
        <v>Land Acquisition</v>
      </c>
      <c r="F9" s="19">
        <f>IFERROR('Cost Calculator'!$C$5*G9, "Breakdown Unavailable")</f>
        <v>0</v>
      </c>
      <c r="G9" s="10">
        <f>IF('Cost Calculator'!$C$3="PV + BESS",'Cost Breakdowns'!$E10,
IF('Cost Calculator'!$C$3="PV",'Cost Breakdowns'!$H10,
IF('Cost Calculator'!$C$3="BESS",'Cost Breakdowns'!$K10,)))</f>
        <v>0</v>
      </c>
    </row>
    <row r="10" spans="1:7" x14ac:dyDescent="0.25">
      <c r="A10" t="b">
        <f>IF('Cost Calculator'!$C$2="Utility-Scale", 'Cost Breakdowns'!$B33)</f>
        <v>0</v>
      </c>
      <c r="B10" s="19">
        <f>IFERROR('Cost Calculator'!$C$5*C10, "Breakdown Unavailable")</f>
        <v>4530460.3080568714</v>
      </c>
      <c r="C10" s="10">
        <f>IF('Cost Calculator'!$C$3="PV + BESS",'Cost Breakdowns'!$E33,
IF('Cost Calculator'!$C$3="PV","NA",
IF('Cost Calculator'!$C$3="BESS",'Cost Breakdowns'!$K33,)))</f>
        <v>4.4999999999999998E-2</v>
      </c>
      <c r="E10" t="str">
        <f>IF('Cost Calculator'!$C$2="Commercial", 'Cost Breakdowns'!$B33)</f>
        <v>Sale Tax</v>
      </c>
      <c r="F10" s="19">
        <f>IFERROR('Cost Calculator'!$C$5*G10, "Breakdown Unavailable")</f>
        <v>4280247.9416789385</v>
      </c>
      <c r="G10" s="10">
        <f>IF('Cost Calculator'!$C$3="PV + BESS",'Cost Breakdowns'!$E11,
IF('Cost Calculator'!$C$3="PV",'Cost Breakdowns'!$H11,
IF('Cost Calculator'!$C$3="BESS",'Cost Breakdowns'!$K11,)))</f>
        <v>4.2514699231117142E-2</v>
      </c>
    </row>
    <row r="11" spans="1:7" x14ac:dyDescent="0.25">
      <c r="A11" t="b">
        <f>IF('Cost Calculator'!$C$2="Utility-Scale", 'Cost Breakdowns'!$B34)</f>
        <v>0</v>
      </c>
      <c r="B11" s="19">
        <f>IFERROR('Cost Calculator'!$C$5*C11, "Breakdown Unavailable")</f>
        <v>3523691.3507109005</v>
      </c>
      <c r="C11" s="10">
        <f>IF('Cost Calculator'!$C$3="PV + BESS",'Cost Breakdowns'!$E34,
IF('Cost Calculator'!$C$3="PV","NA",
IF('Cost Calculator'!$C$3="BESS",'Cost Breakdowns'!$K34,)))</f>
        <v>3.5000000000000003E-2</v>
      </c>
      <c r="E11" t="str">
        <f>IF('Cost Calculator'!$C$2="Commercial", 'Cost Breakdowns'!$B34)</f>
        <v>EPC Overhead</v>
      </c>
      <c r="F11" s="19">
        <f>IFERROR('Cost Calculator'!$C$5*G11, "Breakdown Unavailable")</f>
        <v>8105150.357647351</v>
      </c>
      <c r="G11" s="10">
        <f>IF('Cost Calculator'!$C$3="PV + BESS",'Cost Breakdowns'!$E12,
IF('Cost Calculator'!$C$3="PV",'Cost Breakdowns'!$H12,
IF('Cost Calculator'!$C$3="BESS",'Cost Breakdowns'!$K12,)))</f>
        <v>8.0506558118498425E-2</v>
      </c>
    </row>
    <row r="12" spans="1:7" x14ac:dyDescent="0.25">
      <c r="A12" t="b">
        <f>IF('Cost Calculator'!$C$2="Utility-Scale", 'Cost Breakdowns'!$B35)</f>
        <v>0</v>
      </c>
      <c r="B12" s="19">
        <f>IFERROR('Cost Calculator'!$C$5*C12, "Breakdown Unavailable")</f>
        <v>8054151.6587677719</v>
      </c>
      <c r="C12" s="10">
        <f>IF('Cost Calculator'!$C$3="PV + BESS",'Cost Breakdowns'!$E35,
IF('Cost Calculator'!$C$3="PV","NA",
IF('Cost Calculator'!$C$3="BESS",'Cost Breakdowns'!$K35,)))</f>
        <v>0.08</v>
      </c>
      <c r="E12" t="str">
        <f>IF('Cost Calculator'!$C$2="Commercial", 'Cost Breakdowns'!$B35)</f>
        <v>Install labor &amp; Equipment</v>
      </c>
      <c r="F12" s="19">
        <f>IFERROR('Cost Calculator'!$C$5*G12, "Breakdown Unavailable")</f>
        <v>14343384.059881549</v>
      </c>
      <c r="G12" s="10">
        <f>IF('Cost Calculator'!$C$3="PV + BESS",'Cost Breakdowns'!$E13,
IF('Cost Calculator'!$C$3="PV",'Cost Breakdowns'!$H13,
IF('Cost Calculator'!$C$3="BESS",'Cost Breakdowns'!$K13,)))</f>
        <v>0.1424694708276798</v>
      </c>
    </row>
    <row r="13" spans="1:7" x14ac:dyDescent="0.25">
      <c r="A13" t="b">
        <f>IF('Cost Calculator'!$C$2="Utility-Scale", 'Cost Breakdowns'!$B36)</f>
        <v>0</v>
      </c>
      <c r="B13" s="19">
        <f>IFERROR('Cost Calculator'!$C$5*C13, "Breakdown Unavailable")</f>
        <v>9060920.6161137428</v>
      </c>
      <c r="C13" s="10">
        <f>IF('Cost Calculator'!$C$3="PV + BESS",'Cost Breakdowns'!$E36,
IF('Cost Calculator'!$C$3="PV","NA",
IF('Cost Calculator'!$C$3="BESS",'Cost Breakdowns'!$K36,)))</f>
        <v>0.09</v>
      </c>
      <c r="E13" t="str">
        <f>IF('Cost Calculator'!$C$2="Commercial", 'Cost Breakdowns'!$B36)</f>
        <v>Electrical BOS</v>
      </c>
      <c r="F13" s="19">
        <f>IFERROR('Cost Calculator'!$C$5*G13, "Breakdown Unavailable")</f>
        <v>10063136.11820261</v>
      </c>
      <c r="G13" s="10">
        <f>IF('Cost Calculator'!$C$3="PV + BESS",'Cost Breakdowns'!$E14,
IF('Cost Calculator'!$C$3="PV",'Cost Breakdowns'!$H14,
IF('Cost Calculator'!$C$3="BESS",'Cost Breakdowns'!$K14,)))</f>
        <v>9.9954771596562644E-2</v>
      </c>
    </row>
    <row r="14" spans="1:7" x14ac:dyDescent="0.25">
      <c r="A14" t="b">
        <f>IF('Cost Calculator'!$C$2="Utility-Scale", 'Cost Breakdowns'!$B37)</f>
        <v>0</v>
      </c>
      <c r="B14" s="19">
        <f>IFERROR('Cost Calculator'!$C$5*C14, "Breakdown Unavailable")</f>
        <v>9564305.0947867297</v>
      </c>
      <c r="C14" s="10">
        <f>IF('Cost Calculator'!$C$3="PV + BESS",'Cost Breakdowns'!$E37,
IF('Cost Calculator'!$C$3="PV","NA",
IF('Cost Calculator'!$C$3="BESS",'Cost Breakdowns'!$K37,)))</f>
        <v>9.5000000000000001E-2</v>
      </c>
      <c r="E14" t="str">
        <f>IF('Cost Calculator'!$C$2="Commercial", 'Cost Breakdowns'!$B37)</f>
        <v>Structural BOS</v>
      </c>
      <c r="F14" s="19">
        <f>IFERROR('Cost Calculator'!$C$5*G14, "Breakdown Unavailable")</f>
        <v>8423892.2256447189</v>
      </c>
      <c r="G14" s="10">
        <f>IF('Cost Calculator'!$C$3="PV + BESS",'Cost Breakdowns'!$E15,
IF('Cost Calculator'!$C$3="PV",'Cost Breakdowns'!$H15,
IF('Cost Calculator'!$C$3="BESS",'Cost Breakdowns'!$K15,)))</f>
        <v>8.3672546359113531E-2</v>
      </c>
    </row>
    <row r="15" spans="1:7" x14ac:dyDescent="0.25">
      <c r="A15" t="b">
        <f>IF('Cost Calculator'!$C$2="Utility-Scale", 'Cost Breakdowns'!$B38)</f>
        <v>0</v>
      </c>
      <c r="B15" s="19">
        <f>IFERROR('Cost Calculator'!$C$5*C15, "Breakdown Unavailable")</f>
        <v>2013537.914691943</v>
      </c>
      <c r="C15" s="10">
        <f>IF('Cost Calculator'!$C$3="PV + BESS",'Cost Breakdowns'!$E38,
IF('Cost Calculator'!$C$3="PV","NA",
IF('Cost Calculator'!$C$3="BESS",'Cost Breakdowns'!$K38,)))</f>
        <v>0.02</v>
      </c>
      <c r="E15" t="str">
        <f>IF('Cost Calculator'!$C$2="Commercial", 'Cost Breakdowns'!$B38)</f>
        <v>Bidirectional Inverter</v>
      </c>
      <c r="F15" s="19">
        <f>IFERROR('Cost Calculator'!$C$5*G15, "Breakdown Unavailable")</f>
        <v>1639243.8925578911</v>
      </c>
      <c r="G15" s="10">
        <f>IF('Cost Calculator'!$C$3="PV + BESS",'Cost Breakdowns'!$E16,
IF('Cost Calculator'!$C$3="PV",'Cost Breakdowns'!$H16,
IF('Cost Calculator'!$C$3="BESS",'Cost Breakdowns'!$K16,)))</f>
        <v>1.6282225237449117E-2</v>
      </c>
    </row>
    <row r="16" spans="1:7" x14ac:dyDescent="0.25">
      <c r="A16" t="b">
        <f>IF('Cost Calculator'!$C$2="Utility-Scale", 'Cost Breakdowns'!$B39)</f>
        <v>0</v>
      </c>
      <c r="B16" s="19">
        <f>IFERROR('Cost Calculator'!$C$5*C16, "Breakdown Unavailable")</f>
        <v>3523691.3507109005</v>
      </c>
      <c r="C16" s="10">
        <f>IF('Cost Calculator'!$C$3="PV + BESS",'Cost Breakdowns'!$E39,
IF('Cost Calculator'!$C$3="PV","NA",
IF('Cost Calculator'!$C$3="BESS",'Cost Breakdowns'!$K39,)))</f>
        <v>3.5000000000000003E-2</v>
      </c>
      <c r="E16" t="str">
        <f>IF('Cost Calculator'!$C$2="Commercial", 'Cost Breakdowns'!$B39)</f>
        <v>Solar Inverter</v>
      </c>
      <c r="F16" s="19">
        <f>IFERROR('Cost Calculator'!$C$5*G16, "Breakdown Unavailable")</f>
        <v>0</v>
      </c>
      <c r="G16" s="10">
        <f>IF('Cost Calculator'!$C$3="PV + BESS",'Cost Breakdowns'!$E17,
IF('Cost Calculator'!$C$3="PV",'Cost Breakdowns'!$H17,
IF('Cost Calculator'!$C$3="BESS",'Cost Breakdowns'!$K17,)))</f>
        <v>0</v>
      </c>
    </row>
    <row r="17" spans="1:7" x14ac:dyDescent="0.25">
      <c r="A17" t="b">
        <f>IF('Cost Calculator'!$C$2="Utility-Scale", 'Cost Breakdowns'!$B40)</f>
        <v>0</v>
      </c>
      <c r="B17" s="19">
        <f>IFERROR('Cost Calculator'!$C$5*C17, "Breakdown Unavailable")</f>
        <v>21645532.582938388</v>
      </c>
      <c r="C17" s="10">
        <f>IF('Cost Calculator'!$C$3="PV + BESS",'Cost Breakdowns'!$E40,
IF('Cost Calculator'!$C$3="PV","NA",
IF('Cost Calculator'!$C$3="BESS",'Cost Breakdowns'!$K40,)))</f>
        <v>0.215</v>
      </c>
      <c r="E17" t="str">
        <f>IF('Cost Calculator'!$C$2="Commercial", 'Cost Breakdowns'!$B40)</f>
        <v>Lithium Ion Battery</v>
      </c>
      <c r="F17" s="19">
        <f>IFERROR('Cost Calculator'!$C$5*G17, "Breakdown Unavailable")</f>
        <v>20991428.735255219</v>
      </c>
      <c r="G17" s="10">
        <f>IF('Cost Calculator'!$C$3="PV + BESS",'Cost Breakdowns'!$E18,
IF('Cost Calculator'!$C$3="PV",'Cost Breakdowns'!$H18,
IF('Cost Calculator'!$C$3="BESS",'Cost Breakdowns'!$K18,)))</f>
        <v>0.20850293984622345</v>
      </c>
    </row>
    <row r="18" spans="1:7" x14ac:dyDescent="0.25">
      <c r="A18" t="b">
        <f>IF('Cost Calculator'!$C$2="Utility-Scale", 'Cost Breakdowns'!$B41)</f>
        <v>0</v>
      </c>
      <c r="B18" s="19">
        <f>IFERROR('Cost Calculator'!$C$5*C18, "Breakdown Unavailable")</f>
        <v>26679377.369668245</v>
      </c>
      <c r="C18" s="10">
        <f>IF('Cost Calculator'!$C$3="PV + BESS",'Cost Breakdowns'!$E41,
IF('Cost Calculator'!$C$3="PV","NA",
IF('Cost Calculator'!$C$3="BESS",'Cost Breakdowns'!$K41,)))</f>
        <v>0.26500000000000001</v>
      </c>
      <c r="E18" t="str">
        <f>IF('Cost Calculator'!$C$2="Commercial", 'Cost Breakdowns'!$B41)</f>
        <v>PV Module</v>
      </c>
      <c r="F18" s="19">
        <f>IFERROR('Cost Calculator'!$C$5*G18, "Breakdown Unavailable")</f>
        <v>18487028.343847331</v>
      </c>
      <c r="G18" s="10">
        <f>IF('Cost Calculator'!$C$3="PV + BESS",'Cost Breakdowns'!$E19,
IF('Cost Calculator'!$C$3="PV",'Cost Breakdowns'!$H19,
IF('Cost Calculator'!$C$3="BESS",'Cost Breakdowns'!$K19,)))</f>
        <v>0.18362731795567619</v>
      </c>
    </row>
    <row r="19" spans="1:7" x14ac:dyDescent="0.25">
      <c r="A19" t="s">
        <v>62</v>
      </c>
      <c r="B19" s="19" t="s">
        <v>62</v>
      </c>
      <c r="C19" t="s">
        <v>62</v>
      </c>
      <c r="E19" t="str">
        <f>IF('Cost Calculator'!$C$2="Commercial", 'Cost Breakdowns'!$B42)</f>
        <v>Total</v>
      </c>
      <c r="F19" s="19">
        <f>IFERROR('Cost Calculator'!$C$5*G19, "Breakdown Unavailable")</f>
        <v>100676895.73459715</v>
      </c>
      <c r="G19" s="10">
        <f>IF('Cost Calculator'!$C$3="PV + BESS",'Cost Breakdowns'!$E20,
IF('Cost Calculator'!$C$3="PV",'Cost Breakdowns'!$H20,
IF('Cost Calculator'!$C$3="BESS",'Cost Breakdowns'!$K20,)))</f>
        <v>1</v>
      </c>
    </row>
    <row r="20" spans="1:7" x14ac:dyDescent="0.25">
      <c r="F20" s="19"/>
      <c r="G20" s="10"/>
    </row>
    <row r="21" spans="1:7" x14ac:dyDescent="0.25">
      <c r="F21" s="19"/>
      <c r="G21" s="10"/>
    </row>
    <row r="22" spans="1:7" x14ac:dyDescent="0.25">
      <c r="F22" s="19"/>
      <c r="G22" s="10"/>
    </row>
  </sheetData>
  <mergeCells count="2">
    <mergeCell ref="A1:C1"/>
    <mergeCell ref="E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6"/>
  <sheetViews>
    <sheetView showGridLines="0" workbookViewId="0"/>
  </sheetViews>
  <sheetFormatPr defaultRowHeight="15" x14ac:dyDescent="0.25"/>
  <cols>
    <col min="1" max="1" width="63.85546875" customWidth="1"/>
    <col min="2" max="2" width="22.140625" customWidth="1"/>
    <col min="3" max="3" width="30" customWidth="1"/>
    <col min="4" max="4" width="26.5703125" customWidth="1"/>
  </cols>
  <sheetData>
    <row r="1" spans="1:5" ht="60" customHeight="1" x14ac:dyDescent="0.25">
      <c r="A1" s="26" t="s">
        <v>272</v>
      </c>
      <c r="D1" s="3"/>
    </row>
    <row r="2" spans="1:5" x14ac:dyDescent="0.25">
      <c r="A2" t="s">
        <v>273</v>
      </c>
      <c r="B2">
        <v>156.36000000000001</v>
      </c>
      <c r="C2" t="s">
        <v>42</v>
      </c>
      <c r="D2" s="29">
        <v>43549</v>
      </c>
    </row>
    <row r="3" spans="1:5" ht="15.75" x14ac:dyDescent="0.25">
      <c r="A3" t="s">
        <v>274</v>
      </c>
      <c r="B3">
        <v>128</v>
      </c>
      <c r="C3" t="s">
        <v>42</v>
      </c>
      <c r="D3" s="30">
        <v>43105</v>
      </c>
    </row>
    <row r="4" spans="1:5" x14ac:dyDescent="0.25">
      <c r="A4" t="s">
        <v>275</v>
      </c>
      <c r="B4">
        <f>9.54+16.54+79.5+11.45</f>
        <v>117.03</v>
      </c>
      <c r="C4" t="s">
        <v>42</v>
      </c>
      <c r="D4" s="29">
        <v>42842</v>
      </c>
    </row>
    <row r="5" spans="1:5" x14ac:dyDescent="0.25">
      <c r="A5" t="s">
        <v>276</v>
      </c>
      <c r="B5">
        <v>23.4</v>
      </c>
      <c r="C5" t="s">
        <v>42</v>
      </c>
      <c r="D5" s="29">
        <v>42038</v>
      </c>
    </row>
    <row r="6" spans="1:5" x14ac:dyDescent="0.25">
      <c r="A6" t="s">
        <v>277</v>
      </c>
      <c r="B6">
        <v>7.8</v>
      </c>
      <c r="C6" t="s">
        <v>42</v>
      </c>
      <c r="D6" s="29">
        <v>42133</v>
      </c>
    </row>
    <row r="7" spans="1:5" x14ac:dyDescent="0.25">
      <c r="A7" t="s">
        <v>278</v>
      </c>
      <c r="B7">
        <v>85.8</v>
      </c>
      <c r="C7" t="s">
        <v>42</v>
      </c>
      <c r="D7" s="29">
        <v>41838</v>
      </c>
    </row>
    <row r="8" spans="1:5" x14ac:dyDescent="0.25">
      <c r="A8" t="s">
        <v>279</v>
      </c>
      <c r="B8">
        <v>105.3</v>
      </c>
      <c r="C8" t="s">
        <v>42</v>
      </c>
      <c r="D8" s="3" t="s">
        <v>280</v>
      </c>
    </row>
    <row r="9" spans="1:5" x14ac:dyDescent="0.25">
      <c r="A9" t="s">
        <v>281</v>
      </c>
      <c r="B9">
        <v>973.33</v>
      </c>
      <c r="C9" t="s">
        <v>42</v>
      </c>
      <c r="D9" s="29">
        <v>43713</v>
      </c>
    </row>
    <row r="10" spans="1:5" x14ac:dyDescent="0.25">
      <c r="A10" t="s">
        <v>282</v>
      </c>
      <c r="B10">
        <v>14.76</v>
      </c>
      <c r="C10" t="s">
        <v>42</v>
      </c>
      <c r="D10" s="29">
        <v>44363</v>
      </c>
    </row>
    <row r="11" spans="1:5" x14ac:dyDescent="0.25">
      <c r="A11" t="s">
        <v>283</v>
      </c>
      <c r="B11">
        <v>13.86</v>
      </c>
      <c r="C11" t="s">
        <v>42</v>
      </c>
      <c r="D11" s="29">
        <v>44484</v>
      </c>
    </row>
    <row r="12" spans="1:5" x14ac:dyDescent="0.25">
      <c r="D12" s="3"/>
    </row>
    <row r="13" spans="1:5" x14ac:dyDescent="0.25">
      <c r="D13" s="3"/>
    </row>
    <row r="14" spans="1:5" x14ac:dyDescent="0.25">
      <c r="A14" s="26"/>
      <c r="D14" s="3"/>
    </row>
    <row r="15" spans="1:5" x14ac:dyDescent="0.25">
      <c r="A15" s="26" t="s">
        <v>284</v>
      </c>
      <c r="C15" t="s">
        <v>285</v>
      </c>
      <c r="D15" s="3" t="s">
        <v>286</v>
      </c>
      <c r="E15" t="s">
        <v>287</v>
      </c>
    </row>
    <row r="16" spans="1:5" ht="30" x14ac:dyDescent="0.25">
      <c r="A16" t="s">
        <v>288</v>
      </c>
      <c r="B16" s="3" t="s">
        <v>289</v>
      </c>
      <c r="C16">
        <v>2022</v>
      </c>
      <c r="D16" s="28">
        <v>420281.33</v>
      </c>
    </row>
    <row r="17" spans="1:5" ht="90" x14ac:dyDescent="0.25">
      <c r="A17" s="1" t="s">
        <v>290</v>
      </c>
      <c r="B17" s="3" t="s">
        <v>291</v>
      </c>
      <c r="C17">
        <v>2020</v>
      </c>
      <c r="D17" s="3" t="s">
        <v>292</v>
      </c>
      <c r="E17">
        <v>100</v>
      </c>
    </row>
    <row r="18" spans="1:5" ht="90" x14ac:dyDescent="0.25">
      <c r="A18" s="1" t="s">
        <v>293</v>
      </c>
      <c r="B18" s="3" t="s">
        <v>294</v>
      </c>
      <c r="C18">
        <v>2018</v>
      </c>
      <c r="D18" s="28">
        <v>500000</v>
      </c>
      <c r="E18" t="s">
        <v>295</v>
      </c>
    </row>
    <row r="19" spans="1:5" x14ac:dyDescent="0.25">
      <c r="A19" s="1" t="s">
        <v>296</v>
      </c>
      <c r="B19" s="3"/>
      <c r="C19">
        <v>2017</v>
      </c>
      <c r="D19" s="28">
        <v>92504</v>
      </c>
      <c r="E19" t="s">
        <v>297</v>
      </c>
    </row>
    <row r="20" spans="1:5" x14ac:dyDescent="0.25">
      <c r="A20" s="1" t="s">
        <v>298</v>
      </c>
      <c r="B20" s="3"/>
      <c r="C20">
        <v>2017</v>
      </c>
      <c r="D20" s="28">
        <v>109159</v>
      </c>
      <c r="E20" t="s">
        <v>295</v>
      </c>
    </row>
    <row r="21" spans="1:5" x14ac:dyDescent="0.25">
      <c r="A21" s="1" t="s">
        <v>299</v>
      </c>
      <c r="B21" s="3"/>
      <c r="C21">
        <v>2018</v>
      </c>
      <c r="D21" s="28">
        <v>48698</v>
      </c>
    </row>
    <row r="22" spans="1:5" x14ac:dyDescent="0.25">
      <c r="A22" s="1" t="s">
        <v>300</v>
      </c>
      <c r="B22" s="3"/>
      <c r="D22" s="28">
        <v>711207</v>
      </c>
    </row>
    <row r="23" spans="1:5" x14ac:dyDescent="0.25">
      <c r="C23" s="3"/>
    </row>
    <row r="24" spans="1:5" x14ac:dyDescent="0.25">
      <c r="C24" s="3"/>
    </row>
    <row r="25" spans="1:5" x14ac:dyDescent="0.25">
      <c r="D25" s="3"/>
    </row>
    <row r="26" spans="1:5" x14ac:dyDescent="0.25">
      <c r="D26" s="3"/>
    </row>
  </sheetData>
  <hyperlinks>
    <hyperlink ref="A17" r:id="rId1" xr:uid="{00000000-0004-0000-1200-000000000000}"/>
    <hyperlink ref="A18" r:id="rId2" xr:uid="{00000000-0004-0000-1200-000001000000}"/>
    <hyperlink ref="A19" r:id="rId3" xr:uid="{00000000-0004-0000-1200-000002000000}"/>
    <hyperlink ref="A20" r:id="rId4" xr:uid="{00000000-0004-0000-1200-000003000000}"/>
    <hyperlink ref="A21" r:id="rId5" xr:uid="{00000000-0004-0000-1200-000004000000}"/>
    <hyperlink ref="A22" r:id="rId6" xr:uid="{00000000-0004-0000-12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Portfolio Guide</vt:lpstr>
      <vt:lpstr>Public Library Cost</vt:lpstr>
      <vt:lpstr>Cost Calculator</vt:lpstr>
      <vt:lpstr>Utility Scale Estimates</vt:lpstr>
      <vt:lpstr>Commercial Scale &amp; UHManoa PV</vt:lpstr>
      <vt:lpstr>Cost Breakdowns</vt:lpstr>
      <vt:lpstr>Utility Scale Estimate Sheet</vt:lpstr>
      <vt:lpstr>Estimate_1</vt:lpstr>
      <vt:lpstr>Estimate_2</vt:lpstr>
      <vt:lpstr>Estimate_3</vt:lpstr>
      <vt:lpstr>Estimate_4</vt:lpstr>
      <vt:lpstr>HECO Estimates</vt:lpstr>
      <vt:lpstr>Estimate_6</vt:lpstr>
      <vt:lpstr>Estimate_7</vt:lpstr>
      <vt:lpstr>Estimate_8</vt:lpstr>
      <vt:lpstr>Estimate_9</vt:lpstr>
      <vt:lpstr>Residential Estimate</vt:lpstr>
      <vt:lpstr>Drop Down Lists</vt:lpstr>
      <vt:lpstr>Output Charts Breakdown</vt:lpstr>
      <vt:lpstr>Commercial - TBD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Miller</cp:lastModifiedBy>
  <dcterms:modified xsi:type="dcterms:W3CDTF">2026-07-30T20:13:50Z</dcterms:modified>
</cp:coreProperties>
</file>